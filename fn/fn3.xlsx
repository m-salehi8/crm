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.keramati\Desktop\گزارشات\"/>
    </mc:Choice>
  </mc:AlternateContent>
  <xr:revisionPtr revIDLastSave="0" documentId="13_ncr:1_{72E5913B-ECE1-4799-B835-5CB3EC44479E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اردیبهشت" sheetId="1" r:id="rId1"/>
    <sheet name="خرداد" sheetId="2" r:id="rId2"/>
    <sheet name="حق ماموریت تیر" sheetId="6" r:id="rId3"/>
    <sheet name="تیر" sheetId="3" r:id="rId4"/>
    <sheet name="مرداد" sheetId="7" r:id="rId5"/>
    <sheet name="شهریور" sheetId="10" r:id="rId6"/>
    <sheet name="مهر" sheetId="11" r:id="rId7"/>
    <sheet name="آبان" sheetId="12" r:id="rId8"/>
    <sheet name="آذر" sheetId="14" r:id="rId9"/>
    <sheet name="دی" sheetId="15" r:id="rId10"/>
    <sheet name="بهمن" sheetId="17" r:id="rId11"/>
  </sheets>
  <definedNames>
    <definedName name="_xlnm._FilterDatabase" localSheetId="7" hidden="1">آبان!$A$1:$I$186</definedName>
    <definedName name="_xlnm._FilterDatabase" localSheetId="8" hidden="1">آذر!$A$1:$I$202</definedName>
    <definedName name="_xlnm._FilterDatabase" localSheetId="0" hidden="1">اردیبهشت!$A$1:$F$206</definedName>
    <definedName name="_xlnm._FilterDatabase" localSheetId="10" hidden="1">بهمن!$A$1:$K$204</definedName>
    <definedName name="_xlnm._FilterDatabase" localSheetId="3" hidden="1">تیر!$A$1:$H$167</definedName>
    <definedName name="_xlnm._FilterDatabase" localSheetId="2" hidden="1">'حق ماموریت تیر'!$A$1:$B$23</definedName>
    <definedName name="_xlnm._FilterDatabase" localSheetId="1" hidden="1">خرداد!$A$1:$G$231</definedName>
    <definedName name="_xlnm._FilterDatabase" localSheetId="9" hidden="1">دی!$A$1:$K$206</definedName>
    <definedName name="_xlnm._FilterDatabase" localSheetId="5" hidden="1">شهریور!$A$1:$I$146</definedName>
    <definedName name="_xlnm._FilterDatabase" localSheetId="4" hidden="1">مرداد!$A$1:$H$172</definedName>
    <definedName name="_xlnm._FilterDatabase" localSheetId="6" hidden="1">مهر!$A$1:$I$251</definedName>
    <definedName name="_xlnm.Print_Area" localSheetId="9">دی!$A$1:$I$205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1" i="17" l="1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7" i="17"/>
  <c r="C199" i="17"/>
  <c r="C200" i="17"/>
  <c r="C20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2" i="17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2" i="14"/>
  <c r="C73" i="14"/>
  <c r="C75" i="14"/>
  <c r="C77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4" i="14"/>
  <c r="C95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9" i="14"/>
  <c r="C130" i="14"/>
  <c r="C131" i="14"/>
  <c r="C132" i="14"/>
  <c r="C133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6" i="14"/>
  <c r="C177" i="14"/>
  <c r="C178" i="14"/>
  <c r="C179" i="14"/>
  <c r="C180" i="14"/>
  <c r="C181" i="14"/>
  <c r="C182" i="14"/>
  <c r="C183" i="14"/>
  <c r="C185" i="14"/>
  <c r="C191" i="14"/>
  <c r="C193" i="14"/>
  <c r="C195" i="14"/>
  <c r="C196" i="14"/>
  <c r="C197" i="14"/>
  <c r="C198" i="14"/>
  <c r="C199" i="14"/>
  <c r="C200" i="14"/>
  <c r="C201" i="14"/>
  <c r="C202" i="14"/>
  <c r="C2" i="14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4" i="12"/>
  <c r="C85" i="12"/>
  <c r="C86" i="12"/>
  <c r="C87" i="12"/>
  <c r="C88" i="12"/>
  <c r="C89" i="12"/>
  <c r="C90" i="12"/>
  <c r="C91" i="12"/>
  <c r="C92" i="12"/>
  <c r="C93" i="12"/>
  <c r="C94" i="12"/>
  <c r="C96" i="12"/>
  <c r="C97" i="12"/>
  <c r="C98" i="12"/>
  <c r="C100" i="12"/>
  <c r="C102" i="12"/>
  <c r="C103" i="12"/>
  <c r="C104" i="12"/>
  <c r="C105" i="12"/>
  <c r="C106" i="12"/>
  <c r="C107" i="12"/>
  <c r="C108" i="12"/>
  <c r="C109" i="12"/>
  <c r="C111" i="12"/>
  <c r="C112" i="12"/>
  <c r="C114" i="12"/>
  <c r="C115" i="12"/>
  <c r="C116" i="12"/>
  <c r="C117" i="12"/>
  <c r="C118" i="12"/>
  <c r="C119" i="12"/>
  <c r="C120" i="12"/>
  <c r="C121" i="12"/>
  <c r="C122" i="12"/>
  <c r="C124" i="12"/>
  <c r="C125" i="12"/>
  <c r="C126" i="12"/>
  <c r="C128" i="12"/>
  <c r="C129" i="12"/>
  <c r="C130" i="12"/>
  <c r="C132" i="12"/>
  <c r="C133" i="12"/>
  <c r="C134" i="12"/>
  <c r="C135" i="12"/>
  <c r="C137" i="12"/>
  <c r="C138" i="12"/>
  <c r="C139" i="12"/>
  <c r="C140" i="12"/>
  <c r="C141" i="12"/>
  <c r="C142" i="12"/>
  <c r="C143" i="12"/>
  <c r="C144" i="12"/>
  <c r="C145" i="12"/>
  <c r="C147" i="12"/>
  <c r="C148" i="12"/>
  <c r="C149" i="12"/>
  <c r="C150" i="12"/>
  <c r="C151" i="12"/>
  <c r="C152" i="12"/>
  <c r="C153" i="12"/>
  <c r="C154" i="12"/>
  <c r="C155" i="12"/>
  <c r="C156" i="12"/>
  <c r="C157" i="12"/>
  <c r="C160" i="12"/>
  <c r="C161" i="12"/>
  <c r="C163" i="12"/>
  <c r="C166" i="12"/>
  <c r="C167" i="12"/>
  <c r="C169" i="12"/>
  <c r="C170" i="12"/>
  <c r="C171" i="12"/>
  <c r="C172" i="12"/>
  <c r="C173" i="12"/>
  <c r="C174" i="12"/>
  <c r="C175" i="12"/>
  <c r="C177" i="12"/>
  <c r="C178" i="12"/>
  <c r="C182" i="12"/>
  <c r="C186" i="12"/>
  <c r="C2" i="12"/>
</calcChain>
</file>

<file path=xl/sharedStrings.xml><?xml version="1.0" encoding="utf-8"?>
<sst xmlns="http://schemas.openxmlformats.org/spreadsheetml/2006/main" count="2004" uniqueCount="324">
  <si>
    <t>کد پرسنلی</t>
  </si>
  <si>
    <t>نام و نام خانوادگی کارمند</t>
  </si>
  <si>
    <t>مجتبی جعفری</t>
  </si>
  <si>
    <t>محمدمهدی نصرهرندی</t>
  </si>
  <si>
    <t>امیررضا مومن</t>
  </si>
  <si>
    <t>محمدعلی پیوست</t>
  </si>
  <si>
    <t>معصومه توانای خشگرودی</t>
  </si>
  <si>
    <t>مجید محمدی</t>
  </si>
  <si>
    <t>سیدمهدی میری</t>
  </si>
  <si>
    <t>محمد مهدی اطهر</t>
  </si>
  <si>
    <t>سیدعباس مرادی</t>
  </si>
  <si>
    <t>محمدرضا احمدلو</t>
  </si>
  <si>
    <t>سید مصطفی معصوم پور</t>
  </si>
  <si>
    <t>سیده فاطمه شجاعیان</t>
  </si>
  <si>
    <t>سعید مهدیون</t>
  </si>
  <si>
    <t>حسن شبانی</t>
  </si>
  <si>
    <t>حسین حقیقت پور</t>
  </si>
  <si>
    <t>امیر شیخ حسنی</t>
  </si>
  <si>
    <t>مهران احمدی آذر</t>
  </si>
  <si>
    <t>محسن نوربخش</t>
  </si>
  <si>
    <t>عباس اوتادی</t>
  </si>
  <si>
    <t>مجتبی جواهری فرید</t>
  </si>
  <si>
    <t>علیرضا محمودیان</t>
  </si>
  <si>
    <t>علی مینائی حفظ آباد</t>
  </si>
  <si>
    <t>مسعود نوربخش</t>
  </si>
  <si>
    <t>عباس محمدی</t>
  </si>
  <si>
    <t>حسین عزتی عابد</t>
  </si>
  <si>
    <t>سیدرسول حسینی</t>
  </si>
  <si>
    <t>محمد فکری</t>
  </si>
  <si>
    <t>محسن ذاکری</t>
  </si>
  <si>
    <t>رضا غریب زاد</t>
  </si>
  <si>
    <t>محسن طاهری سیاح</t>
  </si>
  <si>
    <t>سجاد حیدری</t>
  </si>
  <si>
    <t>عبداله جعفری</t>
  </si>
  <si>
    <t>رسول بابائی</t>
  </si>
  <si>
    <t>سیده سپنتا سیدصالحی</t>
  </si>
  <si>
    <t>سیدآرش وکیلیان</t>
  </si>
  <si>
    <t>مصطفی علیئی</t>
  </si>
  <si>
    <t>سیدمحمدهادی حیدری</t>
  </si>
  <si>
    <t>هلیا یوسف نژاد میاندهی</t>
  </si>
  <si>
    <t>محمدحسین سیاح طاهری</t>
  </si>
  <si>
    <t>سیدمسعود حسین پورمشگانی</t>
  </si>
  <si>
    <t>بیتا بزازان</t>
  </si>
  <si>
    <t>رؤیا سادات امامی خوانساری</t>
  </si>
  <si>
    <t>هدی قوامی پور</t>
  </si>
  <si>
    <t>علی دل زنده</t>
  </si>
  <si>
    <t>اصغر قربانی</t>
  </si>
  <si>
    <t>اسمعیل داداشی کلیان</t>
  </si>
  <si>
    <t>محمدرضا خادم کیا</t>
  </si>
  <si>
    <t>اورجعلی قاسم نژادبوغلمش</t>
  </si>
  <si>
    <t>نبی نور محمدی کذرجی</t>
  </si>
  <si>
    <t>علی معظمی گودرزی</t>
  </si>
  <si>
    <t>محمد میرعبداله ئی</t>
  </si>
  <si>
    <t>خشایار شکوری جو</t>
  </si>
  <si>
    <t>حمیدرضا عالیقدر</t>
  </si>
  <si>
    <t>سیروس بهبودی</t>
  </si>
  <si>
    <t>هومن اهرامی</t>
  </si>
  <si>
    <t>حسین فردوس پیشخانی</t>
  </si>
  <si>
    <t>سید مجتبی جمالی</t>
  </si>
  <si>
    <t>امیرحسین آستانه ها</t>
  </si>
  <si>
    <t>امیررضا باقرپور شیرازی</t>
  </si>
  <si>
    <t>مهران نوشین پیجانی</t>
  </si>
  <si>
    <t>عبدالمجید ریاضی</t>
  </si>
  <si>
    <t>سید امیرحسین مکبری</t>
  </si>
  <si>
    <t>محمد جعفر نیک صفت</t>
  </si>
  <si>
    <t>مجید یاری</t>
  </si>
  <si>
    <t>جمیل خیری</t>
  </si>
  <si>
    <t>ابوالقاسم خداوردیلو</t>
  </si>
  <si>
    <t>مجتبی نصیری یار</t>
  </si>
  <si>
    <t>عبدالحسین کلانتری</t>
  </si>
  <si>
    <t>حبیب اله سراوانی</t>
  </si>
  <si>
    <t>احسان ازگلی</t>
  </si>
  <si>
    <t>محمدعلی اسدی</t>
  </si>
  <si>
    <t>مصطفی مرادی</t>
  </si>
  <si>
    <t>محمدرضا معین الدین</t>
  </si>
  <si>
    <t>مریم حق شناس</t>
  </si>
  <si>
    <t>مهدی جامعی</t>
  </si>
  <si>
    <t>حسین قمری</t>
  </si>
  <si>
    <t>جواد آزادی احمدآبادی</t>
  </si>
  <si>
    <t>سید حمید قدسی پور</t>
  </si>
  <si>
    <t>حبیب سلیمی ثابت</t>
  </si>
  <si>
    <t>علی طاهری برمائی</t>
  </si>
  <si>
    <t>مرتضی صالحی</t>
  </si>
  <si>
    <t>جواد غضنفری</t>
  </si>
  <si>
    <t>علی کامرانی دستجردی</t>
  </si>
  <si>
    <t>رقیه نورالهی فیض</t>
  </si>
  <si>
    <t>رسول عرب سرخی میشابی</t>
  </si>
  <si>
    <t>زینب السادات لاجوردی</t>
  </si>
  <si>
    <t>حمید سیف نوری</t>
  </si>
  <si>
    <t>سیدمحمود اکرم</t>
  </si>
  <si>
    <t>سیدعلی محمد میرخانی</t>
  </si>
  <si>
    <t>غلامحسین دهقان</t>
  </si>
  <si>
    <t>سید محمدرضا متقی</t>
  </si>
  <si>
    <t>حسین باقری</t>
  </si>
  <si>
    <t>سعید فتحعلی</t>
  </si>
  <si>
    <t>فاطمه قاضیان</t>
  </si>
  <si>
    <t>سید هادی حسینی پنجکی</t>
  </si>
  <si>
    <t>احمد برادری</t>
  </si>
  <si>
    <t>سلمان صفدری</t>
  </si>
  <si>
    <t>علیرضا اسدپور</t>
  </si>
  <si>
    <t>محمدرضا خلیلی</t>
  </si>
  <si>
    <t>زهرا اشرفی حبیب آبادی</t>
  </si>
  <si>
    <t>حسین جوان بخت</t>
  </si>
  <si>
    <t>رسول عیوضی</t>
  </si>
  <si>
    <t>مجید رجب زاده</t>
  </si>
  <si>
    <t>بهزاد هاشمی نسب</t>
  </si>
  <si>
    <t>حانیه چمنی</t>
  </si>
  <si>
    <t>سیدمحمدامین آقامیری</t>
  </si>
  <si>
    <t>محمد علی ادیبی</t>
  </si>
  <si>
    <t>علی آیدینی</t>
  </si>
  <si>
    <t>محمد  ایلخانی</t>
  </si>
  <si>
    <t>محمدمهدی آقامحمدحسین تجریشی</t>
  </si>
  <si>
    <t>سعید صرافزاده جهرمی</t>
  </si>
  <si>
    <t>فاطمه نادر نژاد</t>
  </si>
  <si>
    <t>شیدا دودانگه</t>
  </si>
  <si>
    <t>سارا بوربورحسینبیگی</t>
  </si>
  <si>
    <t>میثم غلامی خلیل آباد</t>
  </si>
  <si>
    <t>محمد مهدی حق بین</t>
  </si>
  <si>
    <t>حامد  خورسند</t>
  </si>
  <si>
    <t>قاسم وکیلی</t>
  </si>
  <si>
    <t>علی بابائی</t>
  </si>
  <si>
    <t>محمد امین اله داد</t>
  </si>
  <si>
    <t>سید عبدالحمید امامی العریضی</t>
  </si>
  <si>
    <t>سید مرتضی حسنی</t>
  </si>
  <si>
    <t>جواد جواهری</t>
  </si>
  <si>
    <t>حمیدرضا زندی طغان</t>
  </si>
  <si>
    <t>مجید جاودانی ملاک</t>
  </si>
  <si>
    <t>سجاد عبدالهی</t>
  </si>
  <si>
    <t>حسین  بهروز</t>
  </si>
  <si>
    <t>حسین  مسافر</t>
  </si>
  <si>
    <t>امیرحسین غلامزاده بوجاری</t>
  </si>
  <si>
    <t>سهراب کرمی</t>
  </si>
  <si>
    <t>امیر مهدی  ادیب</t>
  </si>
  <si>
    <t>ابراهیم برزگر</t>
  </si>
  <si>
    <t>حسین  دلیریان</t>
  </si>
  <si>
    <t>مهدی حاجیلو</t>
  </si>
  <si>
    <t>محمد علی سیف کاشانی</t>
  </si>
  <si>
    <t>ایمان قطبی</t>
  </si>
  <si>
    <t>امید هراتی اصل</t>
  </si>
  <si>
    <t>نیلوفر  مهکی</t>
  </si>
  <si>
    <t>امین سعیدی کلیشمی</t>
  </si>
  <si>
    <t>سید مهدی طباطبائی اشکذری</t>
  </si>
  <si>
    <t>محمد علی سافلی</t>
  </si>
  <si>
    <t>حسن نجفی سولاری</t>
  </si>
  <si>
    <t>محمد شعبانی</t>
  </si>
  <si>
    <t xml:space="preserve">هادی احدی </t>
  </si>
  <si>
    <t>مرتضی کارگر کنانی</t>
  </si>
  <si>
    <t>حمید قمری</t>
  </si>
  <si>
    <t>محمد کشوری راهوار</t>
  </si>
  <si>
    <t xml:space="preserve">امیر حسین جعفری </t>
  </si>
  <si>
    <t>امیر عباس  رکنی</t>
  </si>
  <si>
    <t>سعید  اسلامی</t>
  </si>
  <si>
    <t>بنیامین عبدالهی</t>
  </si>
  <si>
    <t>محمد علی مقامی</t>
  </si>
  <si>
    <t>علی هدایتی</t>
  </si>
  <si>
    <t>محمد حمزه ئی</t>
  </si>
  <si>
    <t xml:space="preserve">علی حبیبی </t>
  </si>
  <si>
    <t xml:space="preserve">منصور اعلمی </t>
  </si>
  <si>
    <t>میثم فاروغی</t>
  </si>
  <si>
    <t>مریم قیصری</t>
  </si>
  <si>
    <t>آیه سعیدی زاده</t>
  </si>
  <si>
    <t>مسعود شریفی تودشکی</t>
  </si>
  <si>
    <t>سید امیر حسین صبوحی کاشانی</t>
  </si>
  <si>
    <t>علی فلاحی</t>
  </si>
  <si>
    <t>فهیمه صابری</t>
  </si>
  <si>
    <t>مجید طغیانی دولت آبادی</t>
  </si>
  <si>
    <t>محمد  ناصری فر</t>
  </si>
  <si>
    <t>حسین  طاهری</t>
  </si>
  <si>
    <t>محمدحسین انتظاری</t>
  </si>
  <si>
    <t>فاطمه کرامتی هتکه پشتی</t>
  </si>
  <si>
    <t>محدثه قربانی</t>
  </si>
  <si>
    <t>محمد علی عزیزی</t>
  </si>
  <si>
    <t>سید مهدی سید نیاسر</t>
  </si>
  <si>
    <t>فاطمه رحیم زاده</t>
  </si>
  <si>
    <t>مهدی  خدادادی اوچ حصار</t>
  </si>
  <si>
    <t>جعفر ابراهیمی</t>
  </si>
  <si>
    <t>کیمیا شکرائی</t>
  </si>
  <si>
    <t>طاهره طلائی</t>
  </si>
  <si>
    <t>سیدسهیل ساعی مرند</t>
  </si>
  <si>
    <t xml:space="preserve">مسعود بوربور </t>
  </si>
  <si>
    <t>محمدحسین مومنی</t>
  </si>
  <si>
    <t>سبحان فردین فر</t>
  </si>
  <si>
    <t>محسن ایراندوست</t>
  </si>
  <si>
    <t>معصومه شیری</t>
  </si>
  <si>
    <t>الناز شرفی</t>
  </si>
  <si>
    <t>میثم  اخلاقی مهر</t>
  </si>
  <si>
    <t>علی رضا چگنی</t>
  </si>
  <si>
    <t>سید امیر سیاح</t>
  </si>
  <si>
    <t>فرزانه سادات سید رحمانی</t>
  </si>
  <si>
    <t>سید وحید قریشی</t>
  </si>
  <si>
    <t>محمد صفاری</t>
  </si>
  <si>
    <t>صادق  حلیمیان</t>
  </si>
  <si>
    <t>امیر حسین مشکانی</t>
  </si>
  <si>
    <t>مجید خدام</t>
  </si>
  <si>
    <t>مهدی خدارحمی</t>
  </si>
  <si>
    <t>محمد صادق فراهانی</t>
  </si>
  <si>
    <t>ایمان اعیانی ثانی</t>
  </si>
  <si>
    <t>حسین عبداله خانی</t>
  </si>
  <si>
    <t>علی  داودی</t>
  </si>
  <si>
    <t>مصطفی مسعودیان خوزانی</t>
  </si>
  <si>
    <t>علی خسروی راد</t>
  </si>
  <si>
    <t>محمد  زوار</t>
  </si>
  <si>
    <t>سید مهدی هاشمی فشارکی</t>
  </si>
  <si>
    <t>سید علی  سیدزاده</t>
  </si>
  <si>
    <t>سعید ارادتی</t>
  </si>
  <si>
    <t>امیر خوراکیان</t>
  </si>
  <si>
    <t>ماه</t>
  </si>
  <si>
    <t>جمع اقساط وام</t>
  </si>
  <si>
    <t>صندوق کارکنان مامور</t>
  </si>
  <si>
    <t>بیمه درمان تکمیلی</t>
  </si>
  <si>
    <t>علی اشرفی</t>
  </si>
  <si>
    <t>وحید رضا سلامت</t>
  </si>
  <si>
    <t>مصطفی محمدی</t>
  </si>
  <si>
    <t>محمد حسین زهدی</t>
  </si>
  <si>
    <t>فاطمه باذلی محبوب</t>
  </si>
  <si>
    <t>محمد مهدی چگینی</t>
  </si>
  <si>
    <t>محمد امین فرخ</t>
  </si>
  <si>
    <t>محمد حسین آخوندی</t>
  </si>
  <si>
    <t>سجاد خلیلی نژاد</t>
  </si>
  <si>
    <t>حسین زیبنده</t>
  </si>
  <si>
    <t>مجتبی  نیازی اسطلخی</t>
  </si>
  <si>
    <t>محمد حسین مسجدی آرانی</t>
  </si>
  <si>
    <t>رضا حیدری سورشجانی</t>
  </si>
  <si>
    <t>محمد مهدی  مسجدی آرانی</t>
  </si>
  <si>
    <t>علیرضا  اسکندری چچکلو</t>
  </si>
  <si>
    <t>سعید پارسامهر</t>
  </si>
  <si>
    <t>ابراهیم علیزاده اصل</t>
  </si>
  <si>
    <t>سیدطه رضا نیرهدی</t>
  </si>
  <si>
    <t>جواد غلامزاده بوجاری</t>
  </si>
  <si>
    <t>فاطمه  شریفیان</t>
  </si>
  <si>
    <t>عرفان معینی</t>
  </si>
  <si>
    <t>محمدحسین اعلمی هرندی</t>
  </si>
  <si>
    <t>سمیرا سلیمان زاده</t>
  </si>
  <si>
    <t>سید حسین مطلبی</t>
  </si>
  <si>
    <t>زینت السادات مطهری</t>
  </si>
  <si>
    <t>امیر حسین مسجد سرایی</t>
  </si>
  <si>
    <t>محمد مهدی عروتی موفق</t>
  </si>
  <si>
    <t>زهرا گشانی</t>
  </si>
  <si>
    <t>جواد  سراج</t>
  </si>
  <si>
    <t>سید محمد صالح حسینی</t>
  </si>
  <si>
    <t>محمد رضا جلالی</t>
  </si>
  <si>
    <t>محمد هادی زرافشان</t>
  </si>
  <si>
    <t>محمد پرویزی مریدانی</t>
  </si>
  <si>
    <t xml:space="preserve">کسورات غذا </t>
  </si>
  <si>
    <t xml:space="preserve">ماه </t>
  </si>
  <si>
    <t>محمد بهمند فیروز</t>
  </si>
  <si>
    <t>مهران بالازاده</t>
  </si>
  <si>
    <t>سایر کسور</t>
  </si>
  <si>
    <t>شناسه کاربر</t>
  </si>
  <si>
    <t>محمد ایلخانی</t>
  </si>
  <si>
    <t>سید آرش وکیلیان</t>
  </si>
  <si>
    <t>حسام تسلطی مجرد</t>
  </si>
  <si>
    <t>محمد حق‌پناه</t>
  </si>
  <si>
    <t>سعید نعمتی</t>
  </si>
  <si>
    <t>منصور اعلمی</t>
  </si>
  <si>
    <t>حسین سرعتی</t>
  </si>
  <si>
    <t>سعید زارعی</t>
  </si>
  <si>
    <t>غلامرضا توکلی</t>
  </si>
  <si>
    <t>علی مشهدی</t>
  </si>
  <si>
    <t>علی حکیم سیما</t>
  </si>
  <si>
    <t>محمدرضا علی حسینی</t>
  </si>
  <si>
    <t>جواد سراج</t>
  </si>
  <si>
    <t>سید علی سیدزاده</t>
  </si>
  <si>
    <t>حق ماموریت</t>
  </si>
  <si>
    <t>حامد  عالی</t>
  </si>
  <si>
    <t>مهدی علی آبادی</t>
  </si>
  <si>
    <t>ایمان  علی محمدی</t>
  </si>
  <si>
    <t>عباس نظری یساقی</t>
  </si>
  <si>
    <t>وام زیارت</t>
  </si>
  <si>
    <t xml:space="preserve">الناز شرفی </t>
  </si>
  <si>
    <t>محمداحسان شریف‌ نیا</t>
  </si>
  <si>
    <t>سید حسین  هاشمی</t>
  </si>
  <si>
    <t>علی رضا جاوید عربشاهی</t>
  </si>
  <si>
    <t>محمد حسن نریمانی زمان آبادی</t>
  </si>
  <si>
    <t>مجتبی عباسی</t>
  </si>
  <si>
    <t>مهدی محمدی</t>
  </si>
  <si>
    <t>سعید معروف</t>
  </si>
  <si>
    <t>حسن عرب سرخی</t>
  </si>
  <si>
    <t>فاطمه خلیل نژاد</t>
  </si>
  <si>
    <t>محمد مهدی انتخاب</t>
  </si>
  <si>
    <t>محمود بهلول راد</t>
  </si>
  <si>
    <t>محمد رضا میراحمدی</t>
  </si>
  <si>
    <t>محمد تقی مهری</t>
  </si>
  <si>
    <t>سال</t>
  </si>
  <si>
    <t>محسن پاشا</t>
  </si>
  <si>
    <t>محمد مهدی اسماعیلی</t>
  </si>
  <si>
    <t>حجت قلیزاده</t>
  </si>
  <si>
    <t>سجاد بهمن</t>
  </si>
  <si>
    <t>سید محمد جواد طباطبایی فر</t>
  </si>
  <si>
    <t>علی جامی خراسانی</t>
  </si>
  <si>
    <t>محمدصابر اختری</t>
  </si>
  <si>
    <t>مجید قاسم کردی</t>
  </si>
  <si>
    <t>حسین سرچمی</t>
  </si>
  <si>
    <t>حمید صفار بنیسی</t>
  </si>
  <si>
    <t>طه مهدی توکلی طرقی</t>
  </si>
  <si>
    <t>محمد باقر عباسیان مطلق</t>
  </si>
  <si>
    <t>محمد مهدی عصاری</t>
  </si>
  <si>
    <t>حسن وکیل زاده دیزجی</t>
  </si>
  <si>
    <t>یحیی مرادی</t>
  </si>
  <si>
    <t>محمد حسین  ولیخانی</t>
  </si>
  <si>
    <t>فاطمه  یوسف معمار</t>
  </si>
  <si>
    <t>طاها ذی قیمت</t>
  </si>
  <si>
    <t>مهدی مزارعی</t>
  </si>
  <si>
    <t>سید علی حسینی</t>
  </si>
  <si>
    <t>مجتبی رحمانی فر</t>
  </si>
  <si>
    <t>محمد خلج</t>
  </si>
  <si>
    <t>علی رضا علی پور تهرانی</t>
  </si>
  <si>
    <t>محمداحسان شریف نیا</t>
  </si>
  <si>
    <t>محمد عرفان مظاهری</t>
  </si>
  <si>
    <t>علی شرافتی</t>
  </si>
  <si>
    <t>کسورات غذا</t>
  </si>
  <si>
    <t>کسورات دیجی پی</t>
  </si>
  <si>
    <t xml:space="preserve">کسورات مشهد </t>
  </si>
  <si>
    <t>مسعود بوربور</t>
  </si>
  <si>
    <t>امیررضا باقرپورشیرازی</t>
  </si>
  <si>
    <t>محمدحسین ولیخانی</t>
  </si>
  <si>
    <t>علی حبیبی</t>
  </si>
  <si>
    <t>محمد ناصری فر</t>
  </si>
  <si>
    <t>محمدرضا ارجمندنیا</t>
  </si>
  <si>
    <t>فاطمه یوسف معمار</t>
  </si>
  <si>
    <t>سیدهادی حسینی پنجکی</t>
  </si>
  <si>
    <t>سید علیرضا نجات</t>
  </si>
  <si>
    <t>سیدمحمدرضا متقی</t>
  </si>
  <si>
    <t>سمیه عبدالهی طایفه بسطام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</si>
</sst>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6" x14ac:knownFonts="1">
    <font>
      <sz val="11"/>
      <color theme="1"/>
      <name val="Calibri"/>
      <family val="2"/>
      <scheme val="minor"/>
    </font>
    <font>
      <sz val="13"/>
      <color rgb="FF000000"/>
      <name val="Zar"/>
      <charset val="178"/>
    </font>
    <font>
      <sz val="13"/>
      <name val="Zar"/>
      <charset val="178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Zar"/>
      <charset val="178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7E4"/>
        <bgColor rgb="FFFFF7E4"/>
      </patternFill>
    </fill>
    <fill>
      <patternFill patternType="solid">
        <fgColor theme="9" tint="0.59999389629810485"/>
        <bgColor rgb="FFFFF7E4"/>
      </patternFill>
    </fill>
    <fill>
      <patternFill patternType="solid">
        <fgColor theme="9" tint="0.59999389629810485"/>
        <bgColor rgb="FFEAF5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3" fontId="1" fillId="0" borderId="1" xfId="0" applyNumberFormat="1" applyFont="1" applyFill="1" applyBorder="1" applyAlignment="1">
      <alignment horizontal="center" wrapText="1" readingOrder="1"/>
    </xf>
    <xf numFmtId="3" fontId="2" fillId="0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 wrapText="1" readingOrder="1"/>
    </xf>
    <xf numFmtId="3" fontId="1" fillId="3" borderId="1" xfId="0" applyNumberFormat="1" applyFont="1" applyFill="1" applyBorder="1" applyAlignment="1">
      <alignment horizontal="center" wrapText="1" readingOrder="1"/>
    </xf>
    <xf numFmtId="0" fontId="3" fillId="0" borderId="0" xfId="0" applyFont="1"/>
    <xf numFmtId="3" fontId="2" fillId="3" borderId="1" xfId="0" applyNumberFormat="1" applyFont="1" applyFill="1" applyBorder="1" applyAlignment="1">
      <alignment horizontal="center" wrapText="1" readingOrder="1"/>
    </xf>
    <xf numFmtId="0" fontId="4" fillId="0" borderId="0" xfId="0" applyFont="1"/>
    <xf numFmtId="3" fontId="2" fillId="0" borderId="1" xfId="0" applyNumberFormat="1" applyFont="1" applyFill="1" applyBorder="1" applyAlignment="1">
      <alignment horizontal="center" wrapText="1" readingOrder="1"/>
    </xf>
    <xf numFmtId="0" fontId="2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readingOrder="1"/>
    </xf>
    <xf numFmtId="0" fontId="2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readingOrder="1"/>
    </xf>
    <xf numFmtId="0" fontId="2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readingOrder="1"/>
    </xf>
    <xf numFmtId="0" fontId="2" fillId="0" borderId="1" xfId="0" applyNumberFormat="1" applyFont="1" applyFill="1" applyBorder="1" applyAlignment="1">
      <alignment horizontal="center" readingOrder="1"/>
    </xf>
    <xf numFmtId="0" fontId="2" fillId="0" borderId="1" xfId="0" applyFont="1" applyFill="1" applyBorder="1" applyAlignment="1">
      <alignment horizontal="center" readingOrder="1"/>
    </xf>
    <xf numFmtId="0" fontId="2" fillId="3" borderId="1" xfId="0" applyNumberFormat="1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center" readingOrder="1"/>
    </xf>
    <xf numFmtId="0" fontId="1" fillId="0" borderId="1" xfId="0" applyNumberFormat="1" applyFont="1" applyFill="1" applyBorder="1" applyAlignment="1">
      <alignment horizontal="center" readingOrder="1"/>
    </xf>
    <xf numFmtId="0" fontId="1" fillId="3" borderId="1" xfId="0" applyNumberFormat="1" applyFont="1" applyFill="1" applyBorder="1" applyAlignment="1">
      <alignment horizontal="center" readingOrder="1"/>
    </xf>
    <xf numFmtId="0" fontId="5" fillId="0" borderId="0" xfId="0" applyFont="1"/>
    <xf numFmtId="0" fontId="2" fillId="0" borderId="0" xfId="0" applyFont="1" applyFill="1" applyAlignment="1"/>
    <xf numFmtId="0" fontId="1" fillId="0" borderId="3" xfId="0" applyNumberFormat="1" applyFont="1" applyFill="1" applyBorder="1" applyAlignment="1">
      <alignment horizontal="center" vertical="top" readingOrder="1"/>
    </xf>
    <xf numFmtId="0" fontId="1" fillId="0" borderId="3" xfId="0" applyFont="1" applyFill="1" applyBorder="1" applyAlignment="1">
      <alignment horizontal="center" vertical="top" readingOrder="1"/>
    </xf>
    <xf numFmtId="0" fontId="1" fillId="2" borderId="3" xfId="0" applyFont="1" applyFill="1" applyBorder="1" applyAlignment="1">
      <alignment horizontal="center" vertical="top" readingOrder="1"/>
    </xf>
    <xf numFmtId="0" fontId="1" fillId="3" borderId="3" xfId="0" applyNumberFormat="1" applyFont="1" applyFill="1" applyBorder="1" applyAlignment="1">
      <alignment horizontal="center" vertical="top" readingOrder="1"/>
    </xf>
    <xf numFmtId="0" fontId="1" fillId="3" borderId="3" xfId="0" applyFont="1" applyFill="1" applyBorder="1" applyAlignment="1">
      <alignment horizontal="center" vertical="top" readingOrder="1"/>
    </xf>
    <xf numFmtId="3" fontId="1" fillId="2" borderId="3" xfId="0" applyNumberFormat="1" applyFont="1" applyFill="1" applyBorder="1" applyAlignment="1">
      <alignment horizontal="center" vertical="top" readingOrder="1"/>
    </xf>
    <xf numFmtId="3" fontId="1" fillId="0" borderId="3" xfId="0" applyNumberFormat="1" applyFont="1" applyFill="1" applyBorder="1" applyAlignment="1">
      <alignment horizontal="center" vertical="top" readingOrder="1"/>
    </xf>
    <xf numFmtId="3" fontId="5" fillId="0" borderId="3" xfId="0" applyNumberFormat="1" applyFont="1" applyFill="1" applyBorder="1" applyAlignment="1"/>
    <xf numFmtId="3" fontId="1" fillId="3" borderId="3" xfId="0" applyNumberFormat="1" applyFont="1" applyFill="1" applyBorder="1" applyAlignment="1">
      <alignment horizontal="center" vertical="top" readingOrder="1"/>
    </xf>
    <xf numFmtId="3" fontId="5" fillId="3" borderId="3" xfId="0" applyNumberFormat="1" applyFont="1" applyFill="1" applyBorder="1" applyAlignment="1"/>
    <xf numFmtId="3" fontId="5" fillId="0" borderId="0" xfId="0" applyNumberFormat="1" applyFont="1" applyFill="1" applyAlignment="1"/>
    <xf numFmtId="0" fontId="5" fillId="0" borderId="3" xfId="0" applyFont="1" applyBorder="1"/>
    <xf numFmtId="3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3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 applyFill="1"/>
    <xf numFmtId="0" fontId="2" fillId="0" borderId="0" xfId="0" applyFont="1" applyFill="1"/>
    <xf numFmtId="0" fontId="1" fillId="0" borderId="3" xfId="0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Alignment="1">
      <alignment horizontal="center"/>
    </xf>
    <xf numFmtId="3" fontId="1" fillId="0" borderId="3" xfId="0" applyNumberFormat="1" applyFont="1" applyFill="1" applyBorder="1" applyAlignment="1">
      <alignment horizontal="center" vertical="top" wrapText="1" readingOrder="1"/>
    </xf>
    <xf numFmtId="3" fontId="5" fillId="0" borderId="3" xfId="0" applyNumberFormat="1" applyFont="1" applyFill="1" applyBorder="1" applyAlignment="1">
      <alignment horizontal="center"/>
    </xf>
    <xf numFmtId="3" fontId="5" fillId="0" borderId="0" xfId="0" applyNumberFormat="1" applyFont="1" applyFill="1" applyAlignment="1">
      <alignment horizont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 readingOrder="1"/>
    </xf>
    <xf numFmtId="3" fontId="0" fillId="0" borderId="0" xfId="0" applyNumberFormat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3" xfId="0" applyNumberFormat="1" applyFont="1" applyFill="1" applyBorder="1" applyAlignment="1">
      <alignment horizontal="center" vertical="center" readingOrder="1"/>
    </xf>
    <xf numFmtId="0" fontId="5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 readingOrder="1"/>
    </xf>
    <xf numFmtId="0" fontId="1" fillId="6" borderId="3" xfId="0" applyFont="1" applyFill="1" applyBorder="1" applyAlignment="1">
      <alignment horizontal="center" vertical="center" readingOrder="1"/>
    </xf>
    <xf numFmtId="3" fontId="1" fillId="7" borderId="3" xfId="0" applyNumberFormat="1" applyFont="1" applyFill="1" applyBorder="1" applyAlignment="1">
      <alignment horizontal="center" vertical="center" wrapText="1" readingOrder="1"/>
    </xf>
    <xf numFmtId="0" fontId="1" fillId="5" borderId="3" xfId="0" applyNumberFormat="1" applyFont="1" applyFill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readingOrder="1"/>
    </xf>
    <xf numFmtId="3" fontId="1" fillId="5" borderId="3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rightToLeft="1" workbookViewId="0">
      <pane ySplit="1" topLeftCell="A38" activePane="bottomLeft" state="frozen"/>
      <selection pane="bottomLeft" sqref="A1:XFD1048576"/>
    </sheetView>
  </sheetViews>
  <sheetFormatPr defaultRowHeight="22.5" x14ac:dyDescent="0.65"/>
  <cols>
    <col min="1" max="1" width="11.75" style="9" bestFit="1" customWidth="1"/>
    <col min="2" max="2" width="24.25" style="9" bestFit="1" customWidth="1"/>
    <col min="3" max="3" width="6.625" style="9" bestFit="1" customWidth="1"/>
    <col min="4" max="4" width="16.375" style="2" bestFit="1" customWidth="1"/>
    <col min="5" max="5" width="14.375" style="2" bestFit="1" customWidth="1"/>
    <col min="6" max="6" width="19.25" style="2" bestFit="1" customWidth="1"/>
  </cols>
  <sheetData>
    <row r="1" spans="1:6" x14ac:dyDescent="0.65">
      <c r="A1" s="10" t="s">
        <v>0</v>
      </c>
      <c r="B1" s="10" t="s">
        <v>1</v>
      </c>
      <c r="C1" s="10" t="s">
        <v>206</v>
      </c>
      <c r="D1" s="3" t="s">
        <v>209</v>
      </c>
      <c r="E1" s="3" t="s">
        <v>207</v>
      </c>
      <c r="F1" s="3" t="s">
        <v>208</v>
      </c>
    </row>
    <row r="2" spans="1:6" x14ac:dyDescent="0.65">
      <c r="A2" s="11">
        <v>1905</v>
      </c>
      <c r="B2" s="11" t="s">
        <v>2</v>
      </c>
      <c r="C2" s="12">
        <v>2</v>
      </c>
      <c r="D2" s="1"/>
      <c r="E2" s="1"/>
      <c r="F2" s="1"/>
    </row>
    <row r="3" spans="1:6" x14ac:dyDescent="0.65">
      <c r="A3" s="13">
        <v>3567</v>
      </c>
      <c r="B3" s="13" t="s">
        <v>3</v>
      </c>
      <c r="C3" s="14">
        <v>2</v>
      </c>
      <c r="D3" s="4"/>
      <c r="E3" s="4"/>
      <c r="F3" s="4"/>
    </row>
    <row r="4" spans="1:6" x14ac:dyDescent="0.65">
      <c r="A4" s="11">
        <v>3607</v>
      </c>
      <c r="B4" s="11" t="s">
        <v>4</v>
      </c>
      <c r="C4" s="12">
        <v>2</v>
      </c>
      <c r="D4" s="1">
        <v>32400000</v>
      </c>
      <c r="E4" s="1"/>
      <c r="F4" s="1"/>
    </row>
    <row r="5" spans="1:6" x14ac:dyDescent="0.65">
      <c r="A5" s="13">
        <v>3653</v>
      </c>
      <c r="B5" s="13" t="s">
        <v>5</v>
      </c>
      <c r="C5" s="14">
        <v>2</v>
      </c>
      <c r="D5" s="4">
        <v>32400000</v>
      </c>
      <c r="E5" s="4"/>
      <c r="F5" s="4"/>
    </row>
    <row r="6" spans="1:6" x14ac:dyDescent="0.65">
      <c r="A6" s="11">
        <v>4590</v>
      </c>
      <c r="B6" s="11" t="s">
        <v>6</v>
      </c>
      <c r="C6" s="12">
        <v>2</v>
      </c>
      <c r="D6" s="1"/>
      <c r="E6" s="1"/>
      <c r="F6" s="1"/>
    </row>
    <row r="7" spans="1:6" x14ac:dyDescent="0.65">
      <c r="A7" s="13">
        <v>4597</v>
      </c>
      <c r="B7" s="13" t="s">
        <v>7</v>
      </c>
      <c r="C7" s="14">
        <v>2</v>
      </c>
      <c r="D7" s="4">
        <v>25920000</v>
      </c>
      <c r="E7" s="4"/>
      <c r="F7" s="4"/>
    </row>
    <row r="8" spans="1:6" x14ac:dyDescent="0.65">
      <c r="A8" s="11">
        <v>4598</v>
      </c>
      <c r="B8" s="11" t="s">
        <v>8</v>
      </c>
      <c r="C8" s="12">
        <v>2</v>
      </c>
      <c r="D8" s="1">
        <v>25920000</v>
      </c>
      <c r="E8" s="1">
        <v>40000000</v>
      </c>
      <c r="F8" s="1"/>
    </row>
    <row r="9" spans="1:6" x14ac:dyDescent="0.65">
      <c r="A9" s="13">
        <v>4614</v>
      </c>
      <c r="B9" s="13" t="s">
        <v>9</v>
      </c>
      <c r="C9" s="14">
        <v>2</v>
      </c>
      <c r="D9" s="4">
        <v>19440000</v>
      </c>
      <c r="E9" s="4"/>
      <c r="F9" s="4"/>
    </row>
    <row r="10" spans="1:6" x14ac:dyDescent="0.65">
      <c r="A10" s="11">
        <v>4621</v>
      </c>
      <c r="B10" s="11" t="s">
        <v>10</v>
      </c>
      <c r="C10" s="12">
        <v>2</v>
      </c>
      <c r="D10" s="1"/>
      <c r="E10" s="1">
        <v>13285793</v>
      </c>
      <c r="F10" s="1"/>
    </row>
    <row r="11" spans="1:6" x14ac:dyDescent="0.65">
      <c r="A11" s="13">
        <v>4622</v>
      </c>
      <c r="B11" s="13" t="s">
        <v>11</v>
      </c>
      <c r="C11" s="14">
        <v>2</v>
      </c>
      <c r="D11" s="4">
        <v>25920000</v>
      </c>
      <c r="E11" s="4"/>
      <c r="F11" s="4"/>
    </row>
    <row r="12" spans="1:6" x14ac:dyDescent="0.65">
      <c r="A12" s="11">
        <v>4636</v>
      </c>
      <c r="B12" s="11" t="s">
        <v>12</v>
      </c>
      <c r="C12" s="12">
        <v>2</v>
      </c>
      <c r="D12" s="1">
        <v>32400000</v>
      </c>
      <c r="E12" s="1"/>
      <c r="F12" s="1"/>
    </row>
    <row r="13" spans="1:6" x14ac:dyDescent="0.65">
      <c r="A13" s="13">
        <v>4640</v>
      </c>
      <c r="B13" s="13" t="s">
        <v>13</v>
      </c>
      <c r="C13" s="14">
        <v>2</v>
      </c>
      <c r="D13" s="4">
        <v>19440000</v>
      </c>
      <c r="E13" s="4"/>
      <c r="F13" s="4"/>
    </row>
    <row r="14" spans="1:6" x14ac:dyDescent="0.65">
      <c r="A14" s="11">
        <v>4643</v>
      </c>
      <c r="B14" s="11" t="s">
        <v>14</v>
      </c>
      <c r="C14" s="12">
        <v>2</v>
      </c>
      <c r="D14" s="1"/>
      <c r="E14" s="1"/>
      <c r="F14" s="1"/>
    </row>
    <row r="15" spans="1:6" x14ac:dyDescent="0.65">
      <c r="A15" s="13">
        <v>4648</v>
      </c>
      <c r="B15" s="13" t="s">
        <v>15</v>
      </c>
      <c r="C15" s="14">
        <v>2</v>
      </c>
      <c r="D15" s="4">
        <v>19440000</v>
      </c>
      <c r="E15" s="4"/>
      <c r="F15" s="4"/>
    </row>
    <row r="16" spans="1:6" x14ac:dyDescent="0.65">
      <c r="A16" s="11">
        <v>4651</v>
      </c>
      <c r="B16" s="11" t="s">
        <v>16</v>
      </c>
      <c r="C16" s="12">
        <v>2</v>
      </c>
      <c r="D16" s="1">
        <v>19440000</v>
      </c>
      <c r="E16" s="1"/>
      <c r="F16" s="1"/>
    </row>
    <row r="17" spans="1:6" x14ac:dyDescent="0.65">
      <c r="A17" s="13">
        <v>4653</v>
      </c>
      <c r="B17" s="13" t="s">
        <v>17</v>
      </c>
      <c r="C17" s="14">
        <v>2</v>
      </c>
      <c r="D17" s="4">
        <v>32400000</v>
      </c>
      <c r="E17" s="4">
        <v>25000000</v>
      </c>
      <c r="F17" s="4"/>
    </row>
    <row r="18" spans="1:6" x14ac:dyDescent="0.65">
      <c r="A18" s="11">
        <v>4654</v>
      </c>
      <c r="B18" s="11" t="s">
        <v>18</v>
      </c>
      <c r="C18" s="12">
        <v>2</v>
      </c>
      <c r="D18" s="1">
        <v>19440000</v>
      </c>
      <c r="E18" s="1">
        <v>24000000</v>
      </c>
      <c r="F18" s="1"/>
    </row>
    <row r="19" spans="1:6" x14ac:dyDescent="0.65">
      <c r="A19" s="13">
        <v>4655</v>
      </c>
      <c r="B19" s="13" t="s">
        <v>19</v>
      </c>
      <c r="C19" s="14">
        <v>2</v>
      </c>
      <c r="D19" s="4">
        <v>12960000</v>
      </c>
      <c r="E19" s="4">
        <v>21000000</v>
      </c>
      <c r="F19" s="4"/>
    </row>
    <row r="20" spans="1:6" x14ac:dyDescent="0.65">
      <c r="A20" s="11">
        <v>4656</v>
      </c>
      <c r="B20" s="11" t="s">
        <v>20</v>
      </c>
      <c r="C20" s="12">
        <v>2</v>
      </c>
      <c r="D20" s="1">
        <v>32400000</v>
      </c>
      <c r="E20" s="1"/>
      <c r="F20" s="1"/>
    </row>
    <row r="21" spans="1:6" x14ac:dyDescent="0.65">
      <c r="A21" s="13">
        <v>4657</v>
      </c>
      <c r="B21" s="13" t="s">
        <v>21</v>
      </c>
      <c r="C21" s="14">
        <v>2</v>
      </c>
      <c r="D21" s="4">
        <v>25920000</v>
      </c>
      <c r="E21" s="4"/>
      <c r="F21" s="4"/>
    </row>
    <row r="22" spans="1:6" x14ac:dyDescent="0.65">
      <c r="A22" s="11">
        <v>4658</v>
      </c>
      <c r="B22" s="11" t="s">
        <v>22</v>
      </c>
      <c r="C22" s="12">
        <v>2</v>
      </c>
      <c r="D22" s="1">
        <v>19440000</v>
      </c>
      <c r="E22" s="1"/>
      <c r="F22" s="1"/>
    </row>
    <row r="23" spans="1:6" x14ac:dyDescent="0.65">
      <c r="A23" s="13">
        <v>4660</v>
      </c>
      <c r="B23" s="13" t="s">
        <v>23</v>
      </c>
      <c r="C23" s="14">
        <v>2</v>
      </c>
      <c r="D23" s="4">
        <v>25920000</v>
      </c>
      <c r="E23" s="4">
        <v>40000000</v>
      </c>
      <c r="F23" s="4"/>
    </row>
    <row r="24" spans="1:6" x14ac:dyDescent="0.65">
      <c r="A24" s="11">
        <v>4661</v>
      </c>
      <c r="B24" s="11" t="s">
        <v>24</v>
      </c>
      <c r="C24" s="12">
        <v>2</v>
      </c>
      <c r="D24" s="1">
        <v>25920000</v>
      </c>
      <c r="E24" s="1"/>
      <c r="F24" s="1"/>
    </row>
    <row r="25" spans="1:6" x14ac:dyDescent="0.65">
      <c r="A25" s="13">
        <v>4663</v>
      </c>
      <c r="B25" s="13" t="s">
        <v>25</v>
      </c>
      <c r="C25" s="14">
        <v>2</v>
      </c>
      <c r="D25" s="4">
        <v>51840000</v>
      </c>
      <c r="E25" s="4"/>
      <c r="F25" s="4"/>
    </row>
    <row r="26" spans="1:6" x14ac:dyDescent="0.65">
      <c r="A26" s="11">
        <v>4664</v>
      </c>
      <c r="B26" s="11" t="s">
        <v>26</v>
      </c>
      <c r="C26" s="12">
        <v>2</v>
      </c>
      <c r="D26" s="1">
        <v>25920000</v>
      </c>
      <c r="E26" s="1"/>
      <c r="F26" s="1"/>
    </row>
    <row r="27" spans="1:6" x14ac:dyDescent="0.65">
      <c r="A27" s="13">
        <v>4665</v>
      </c>
      <c r="B27" s="13" t="s">
        <v>27</v>
      </c>
      <c r="C27" s="14">
        <v>2</v>
      </c>
      <c r="D27" s="4"/>
      <c r="E27" s="4">
        <v>40000000</v>
      </c>
      <c r="F27" s="4"/>
    </row>
    <row r="28" spans="1:6" x14ac:dyDescent="0.65">
      <c r="A28" s="11">
        <v>4666</v>
      </c>
      <c r="B28" s="11" t="s">
        <v>28</v>
      </c>
      <c r="C28" s="12">
        <v>2</v>
      </c>
      <c r="D28" s="1">
        <v>19440000</v>
      </c>
      <c r="E28" s="1">
        <v>16000000</v>
      </c>
      <c r="F28" s="1"/>
    </row>
    <row r="29" spans="1:6" x14ac:dyDescent="0.65">
      <c r="A29" s="13">
        <v>4667</v>
      </c>
      <c r="B29" s="13" t="s">
        <v>29</v>
      </c>
      <c r="C29" s="14">
        <v>2</v>
      </c>
      <c r="D29" s="4"/>
      <c r="E29" s="4"/>
      <c r="F29" s="4"/>
    </row>
    <row r="30" spans="1:6" x14ac:dyDescent="0.65">
      <c r="A30" s="11">
        <v>4668</v>
      </c>
      <c r="B30" s="11" t="s">
        <v>30</v>
      </c>
      <c r="C30" s="12">
        <v>2</v>
      </c>
      <c r="D30" s="1">
        <v>25920000</v>
      </c>
      <c r="E30" s="1"/>
      <c r="F30" s="1"/>
    </row>
    <row r="31" spans="1:6" x14ac:dyDescent="0.65">
      <c r="A31" s="13">
        <v>4669</v>
      </c>
      <c r="B31" s="13" t="s">
        <v>31</v>
      </c>
      <c r="C31" s="14">
        <v>2</v>
      </c>
      <c r="D31" s="4">
        <v>45360000</v>
      </c>
      <c r="E31" s="4"/>
      <c r="F31" s="4"/>
    </row>
    <row r="32" spans="1:6" x14ac:dyDescent="0.65">
      <c r="A32" s="11">
        <v>4670</v>
      </c>
      <c r="B32" s="11" t="s">
        <v>32</v>
      </c>
      <c r="C32" s="12">
        <v>2</v>
      </c>
      <c r="D32" s="1">
        <v>19440000</v>
      </c>
      <c r="E32" s="1"/>
      <c r="F32" s="1"/>
    </row>
    <row r="33" spans="1:6" x14ac:dyDescent="0.65">
      <c r="A33" s="13">
        <v>4671</v>
      </c>
      <c r="B33" s="13" t="s">
        <v>33</v>
      </c>
      <c r="C33" s="14">
        <v>2</v>
      </c>
      <c r="D33" s="4">
        <v>19440000</v>
      </c>
      <c r="E33" s="4">
        <v>10000000</v>
      </c>
      <c r="F33" s="4"/>
    </row>
    <row r="34" spans="1:6" x14ac:dyDescent="0.65">
      <c r="A34" s="11">
        <v>4673</v>
      </c>
      <c r="B34" s="11" t="s">
        <v>34</v>
      </c>
      <c r="C34" s="12">
        <v>2</v>
      </c>
      <c r="D34" s="1">
        <v>19440000</v>
      </c>
      <c r="E34" s="1"/>
      <c r="F34" s="1"/>
    </row>
    <row r="35" spans="1:6" x14ac:dyDescent="0.65">
      <c r="A35" s="13">
        <v>4686</v>
      </c>
      <c r="B35" s="13" t="s">
        <v>35</v>
      </c>
      <c r="C35" s="14">
        <v>2</v>
      </c>
      <c r="D35" s="4">
        <v>12960000</v>
      </c>
      <c r="E35" s="4"/>
      <c r="F35" s="4"/>
    </row>
    <row r="36" spans="1:6" x14ac:dyDescent="0.65">
      <c r="A36" s="11">
        <v>4687</v>
      </c>
      <c r="B36" s="11" t="s">
        <v>36</v>
      </c>
      <c r="C36" s="12">
        <v>2</v>
      </c>
      <c r="D36" s="1"/>
      <c r="E36" s="1"/>
      <c r="F36" s="1"/>
    </row>
    <row r="37" spans="1:6" x14ac:dyDescent="0.65">
      <c r="A37" s="13">
        <v>4688</v>
      </c>
      <c r="B37" s="13" t="s">
        <v>37</v>
      </c>
      <c r="C37" s="14">
        <v>2</v>
      </c>
      <c r="D37" s="4">
        <v>25920000</v>
      </c>
      <c r="E37" s="4">
        <v>40000000</v>
      </c>
      <c r="F37" s="4"/>
    </row>
    <row r="38" spans="1:6" x14ac:dyDescent="0.65">
      <c r="A38" s="11">
        <v>4689</v>
      </c>
      <c r="B38" s="11" t="s">
        <v>38</v>
      </c>
      <c r="C38" s="12">
        <v>2</v>
      </c>
      <c r="D38" s="1">
        <v>12960000</v>
      </c>
      <c r="E38" s="1"/>
      <c r="F38" s="1"/>
    </row>
    <row r="39" spans="1:6" x14ac:dyDescent="0.65">
      <c r="A39" s="13">
        <v>4693</v>
      </c>
      <c r="B39" s="13" t="s">
        <v>39</v>
      </c>
      <c r="C39" s="14">
        <v>2</v>
      </c>
      <c r="D39" s="4">
        <v>6480000</v>
      </c>
      <c r="E39" s="4"/>
      <c r="F39" s="4"/>
    </row>
    <row r="40" spans="1:6" x14ac:dyDescent="0.65">
      <c r="A40" s="11">
        <v>4701</v>
      </c>
      <c r="B40" s="11" t="s">
        <v>40</v>
      </c>
      <c r="C40" s="12">
        <v>2</v>
      </c>
      <c r="D40" s="1"/>
      <c r="E40" s="1"/>
      <c r="F40" s="1"/>
    </row>
    <row r="41" spans="1:6" x14ac:dyDescent="0.65">
      <c r="A41" s="13">
        <v>4705</v>
      </c>
      <c r="B41" s="13" t="s">
        <v>41</v>
      </c>
      <c r="C41" s="14">
        <v>2</v>
      </c>
      <c r="D41" s="4">
        <v>6480000</v>
      </c>
      <c r="E41" s="4"/>
      <c r="F41" s="4"/>
    </row>
    <row r="42" spans="1:6" x14ac:dyDescent="0.65">
      <c r="A42" s="11">
        <v>4727</v>
      </c>
      <c r="B42" s="11" t="s">
        <v>42</v>
      </c>
      <c r="C42" s="12">
        <v>2</v>
      </c>
      <c r="D42" s="1">
        <v>6480000</v>
      </c>
      <c r="E42" s="1"/>
      <c r="F42" s="1"/>
    </row>
    <row r="43" spans="1:6" x14ac:dyDescent="0.65">
      <c r="A43" s="13">
        <v>4728</v>
      </c>
      <c r="B43" s="13" t="s">
        <v>43</v>
      </c>
      <c r="C43" s="14">
        <v>2</v>
      </c>
      <c r="D43" s="4">
        <v>6480000</v>
      </c>
      <c r="E43" s="4"/>
      <c r="F43" s="4"/>
    </row>
    <row r="44" spans="1:6" x14ac:dyDescent="0.65">
      <c r="A44" s="11">
        <v>4731</v>
      </c>
      <c r="B44" s="11" t="s">
        <v>44</v>
      </c>
      <c r="C44" s="12">
        <v>2</v>
      </c>
      <c r="D44" s="1"/>
      <c r="E44" s="1"/>
      <c r="F44" s="1"/>
    </row>
    <row r="45" spans="1:6" x14ac:dyDescent="0.65">
      <c r="A45" s="13">
        <v>4735</v>
      </c>
      <c r="B45" s="13" t="s">
        <v>45</v>
      </c>
      <c r="C45" s="14">
        <v>2</v>
      </c>
      <c r="D45" s="4">
        <v>32400000</v>
      </c>
      <c r="E45" s="4"/>
      <c r="F45" s="4"/>
    </row>
    <row r="46" spans="1:6" x14ac:dyDescent="0.65">
      <c r="A46" s="11">
        <v>5616</v>
      </c>
      <c r="B46" s="11" t="s">
        <v>46</v>
      </c>
      <c r="C46" s="12">
        <v>2</v>
      </c>
      <c r="D46" s="1">
        <v>32400000</v>
      </c>
      <c r="E46" s="1"/>
      <c r="F46" s="1"/>
    </row>
    <row r="47" spans="1:6" x14ac:dyDescent="0.65">
      <c r="A47" s="13">
        <v>5621</v>
      </c>
      <c r="B47" s="13" t="s">
        <v>47</v>
      </c>
      <c r="C47" s="14">
        <v>2</v>
      </c>
      <c r="D47" s="4">
        <v>19440000</v>
      </c>
      <c r="E47" s="4"/>
      <c r="F47" s="4"/>
    </row>
    <row r="48" spans="1:6" x14ac:dyDescent="0.65">
      <c r="A48" s="11">
        <v>5623</v>
      </c>
      <c r="B48" s="11" t="s">
        <v>48</v>
      </c>
      <c r="C48" s="12">
        <v>2</v>
      </c>
      <c r="D48" s="1">
        <v>12960000</v>
      </c>
      <c r="E48" s="1"/>
      <c r="F48" s="1"/>
    </row>
    <row r="49" spans="1:6" x14ac:dyDescent="0.65">
      <c r="A49" s="13">
        <v>5624</v>
      </c>
      <c r="B49" s="13" t="s">
        <v>49</v>
      </c>
      <c r="C49" s="14">
        <v>2</v>
      </c>
      <c r="D49" s="4">
        <v>19440000</v>
      </c>
      <c r="E49" s="4"/>
      <c r="F49" s="4"/>
    </row>
    <row r="50" spans="1:6" x14ac:dyDescent="0.65">
      <c r="A50" s="11">
        <v>5626</v>
      </c>
      <c r="B50" s="11" t="s">
        <v>50</v>
      </c>
      <c r="C50" s="12">
        <v>2</v>
      </c>
      <c r="D50" s="1">
        <v>12960000</v>
      </c>
      <c r="E50" s="1"/>
      <c r="F50" s="1"/>
    </row>
    <row r="51" spans="1:6" x14ac:dyDescent="0.65">
      <c r="A51" s="13">
        <v>5627</v>
      </c>
      <c r="B51" s="13" t="s">
        <v>51</v>
      </c>
      <c r="C51" s="14">
        <v>2</v>
      </c>
      <c r="D51" s="4">
        <v>12960000</v>
      </c>
      <c r="E51" s="4"/>
      <c r="F51" s="4"/>
    </row>
    <row r="52" spans="1:6" x14ac:dyDescent="0.65">
      <c r="A52" s="11">
        <v>5628</v>
      </c>
      <c r="B52" s="11" t="s">
        <v>52</v>
      </c>
      <c r="C52" s="12">
        <v>2</v>
      </c>
      <c r="D52" s="1">
        <v>12960000</v>
      </c>
      <c r="E52" s="1"/>
      <c r="F52" s="1"/>
    </row>
    <row r="53" spans="1:6" x14ac:dyDescent="0.65">
      <c r="A53" s="13">
        <v>5629</v>
      </c>
      <c r="B53" s="13" t="s">
        <v>53</v>
      </c>
      <c r="C53" s="14">
        <v>2</v>
      </c>
      <c r="D53" s="4">
        <v>12960000</v>
      </c>
      <c r="E53" s="4">
        <v>40000000</v>
      </c>
      <c r="F53" s="4"/>
    </row>
    <row r="54" spans="1:6" x14ac:dyDescent="0.65">
      <c r="A54" s="11">
        <v>5630</v>
      </c>
      <c r="B54" s="11" t="s">
        <v>54</v>
      </c>
      <c r="C54" s="12">
        <v>2</v>
      </c>
      <c r="D54" s="1">
        <v>19440000</v>
      </c>
      <c r="E54" s="1"/>
      <c r="F54" s="1"/>
    </row>
    <row r="55" spans="1:6" x14ac:dyDescent="0.65">
      <c r="A55" s="13">
        <v>5632</v>
      </c>
      <c r="B55" s="13" t="s">
        <v>55</v>
      </c>
      <c r="C55" s="14">
        <v>2</v>
      </c>
      <c r="D55" s="4">
        <v>25920000</v>
      </c>
      <c r="E55" s="4"/>
      <c r="F55" s="4"/>
    </row>
    <row r="56" spans="1:6" x14ac:dyDescent="0.65">
      <c r="A56" s="11">
        <v>5634</v>
      </c>
      <c r="B56" s="11" t="s">
        <v>56</v>
      </c>
      <c r="C56" s="12">
        <v>2</v>
      </c>
      <c r="D56" s="1">
        <v>12960000</v>
      </c>
      <c r="E56" s="1"/>
      <c r="F56" s="1"/>
    </row>
    <row r="57" spans="1:6" x14ac:dyDescent="0.65">
      <c r="A57" s="13">
        <v>5635</v>
      </c>
      <c r="B57" s="13" t="s">
        <v>57</v>
      </c>
      <c r="C57" s="14">
        <v>2</v>
      </c>
      <c r="D57" s="4">
        <v>25920000</v>
      </c>
      <c r="E57" s="4"/>
      <c r="F57" s="4"/>
    </row>
    <row r="58" spans="1:6" x14ac:dyDescent="0.65">
      <c r="A58" s="11">
        <v>5637</v>
      </c>
      <c r="B58" s="11" t="s">
        <v>58</v>
      </c>
      <c r="C58" s="12">
        <v>2</v>
      </c>
      <c r="D58" s="1">
        <v>25920000</v>
      </c>
      <c r="E58" s="1"/>
      <c r="F58" s="1"/>
    </row>
    <row r="59" spans="1:6" x14ac:dyDescent="0.65">
      <c r="A59" s="13">
        <v>5638</v>
      </c>
      <c r="B59" s="13" t="s">
        <v>59</v>
      </c>
      <c r="C59" s="14">
        <v>2</v>
      </c>
      <c r="D59" s="4">
        <v>12960000</v>
      </c>
      <c r="E59" s="4"/>
      <c r="F59" s="4"/>
    </row>
    <row r="60" spans="1:6" x14ac:dyDescent="0.65">
      <c r="A60" s="11">
        <v>5642</v>
      </c>
      <c r="B60" s="11" t="s">
        <v>60</v>
      </c>
      <c r="C60" s="12">
        <v>2</v>
      </c>
      <c r="D60" s="1"/>
      <c r="E60" s="1"/>
      <c r="F60" s="1"/>
    </row>
    <row r="61" spans="1:6" x14ac:dyDescent="0.65">
      <c r="A61" s="13">
        <v>5650</v>
      </c>
      <c r="B61" s="13" t="s">
        <v>61</v>
      </c>
      <c r="C61" s="14">
        <v>2</v>
      </c>
      <c r="D61" s="4"/>
      <c r="E61" s="4">
        <v>80000000</v>
      </c>
      <c r="F61" s="4"/>
    </row>
    <row r="62" spans="1:6" x14ac:dyDescent="0.65">
      <c r="A62" s="11">
        <v>5654</v>
      </c>
      <c r="B62" s="11" t="s">
        <v>62</v>
      </c>
      <c r="C62" s="12">
        <v>2</v>
      </c>
      <c r="D62" s="1"/>
      <c r="E62" s="1"/>
      <c r="F62" s="1"/>
    </row>
    <row r="63" spans="1:6" x14ac:dyDescent="0.65">
      <c r="A63" s="13">
        <v>5655</v>
      </c>
      <c r="B63" s="13" t="s">
        <v>63</v>
      </c>
      <c r="C63" s="14">
        <v>2</v>
      </c>
      <c r="D63" s="4">
        <v>19440000</v>
      </c>
      <c r="E63" s="4">
        <v>40000000</v>
      </c>
      <c r="F63" s="4"/>
    </row>
    <row r="64" spans="1:6" x14ac:dyDescent="0.65">
      <c r="A64" s="11">
        <v>5666</v>
      </c>
      <c r="B64" s="11" t="s">
        <v>64</v>
      </c>
      <c r="C64" s="12">
        <v>2</v>
      </c>
      <c r="D64" s="1"/>
      <c r="E64" s="1"/>
      <c r="F64" s="1"/>
    </row>
    <row r="65" spans="1:6" x14ac:dyDescent="0.65">
      <c r="A65" s="13">
        <v>5671</v>
      </c>
      <c r="B65" s="13" t="s">
        <v>65</v>
      </c>
      <c r="C65" s="14">
        <v>2</v>
      </c>
      <c r="D65" s="4"/>
      <c r="E65" s="4">
        <v>40000000</v>
      </c>
      <c r="F65" s="4"/>
    </row>
    <row r="66" spans="1:6" x14ac:dyDescent="0.65">
      <c r="A66" s="11">
        <v>5675</v>
      </c>
      <c r="B66" s="11" t="s">
        <v>66</v>
      </c>
      <c r="C66" s="12">
        <v>2</v>
      </c>
      <c r="D66" s="1">
        <v>12960000</v>
      </c>
      <c r="E66" s="1">
        <v>40000000</v>
      </c>
      <c r="F66" s="1"/>
    </row>
    <row r="67" spans="1:6" x14ac:dyDescent="0.65">
      <c r="A67" s="13">
        <v>5684</v>
      </c>
      <c r="B67" s="13" t="s">
        <v>27</v>
      </c>
      <c r="C67" s="14">
        <v>2</v>
      </c>
      <c r="D67" s="4"/>
      <c r="E67" s="4"/>
      <c r="F67" s="4"/>
    </row>
    <row r="68" spans="1:6" x14ac:dyDescent="0.65">
      <c r="A68" s="11">
        <v>5685</v>
      </c>
      <c r="B68" s="11" t="s">
        <v>67</v>
      </c>
      <c r="C68" s="12">
        <v>2</v>
      </c>
      <c r="D68" s="1">
        <v>19440000</v>
      </c>
      <c r="E68" s="1"/>
      <c r="F68" s="1"/>
    </row>
    <row r="69" spans="1:6" x14ac:dyDescent="0.65">
      <c r="A69" s="13">
        <v>5699</v>
      </c>
      <c r="B69" s="13" t="s">
        <v>68</v>
      </c>
      <c r="C69" s="14">
        <v>2</v>
      </c>
      <c r="D69" s="4">
        <v>32400000</v>
      </c>
      <c r="E69" s="4"/>
      <c r="F69" s="4"/>
    </row>
    <row r="70" spans="1:6" x14ac:dyDescent="0.65">
      <c r="A70" s="11">
        <v>5700</v>
      </c>
      <c r="B70" s="11" t="s">
        <v>69</v>
      </c>
      <c r="C70" s="12">
        <v>2</v>
      </c>
      <c r="D70" s="1"/>
      <c r="E70" s="1"/>
      <c r="F70" s="1"/>
    </row>
    <row r="71" spans="1:6" x14ac:dyDescent="0.65">
      <c r="A71" s="13">
        <v>5705</v>
      </c>
      <c r="B71" s="13" t="s">
        <v>70</v>
      </c>
      <c r="C71" s="14">
        <v>2</v>
      </c>
      <c r="D71" s="4">
        <v>25920000</v>
      </c>
      <c r="E71" s="4">
        <v>40000000</v>
      </c>
      <c r="F71" s="4"/>
    </row>
    <row r="72" spans="1:6" x14ac:dyDescent="0.65">
      <c r="A72" s="15">
        <v>5707</v>
      </c>
      <c r="B72" s="16" t="s">
        <v>71</v>
      </c>
      <c r="C72" s="16">
        <v>2</v>
      </c>
      <c r="D72" s="8"/>
      <c r="E72" s="8"/>
      <c r="F72" s="8"/>
    </row>
    <row r="73" spans="1:6" x14ac:dyDescent="0.65">
      <c r="A73" s="13">
        <v>5708</v>
      </c>
      <c r="B73" s="13" t="s">
        <v>72</v>
      </c>
      <c r="C73" s="14">
        <v>2</v>
      </c>
      <c r="D73" s="4">
        <v>19440000</v>
      </c>
      <c r="E73" s="4"/>
      <c r="F73" s="4"/>
    </row>
    <row r="74" spans="1:6" x14ac:dyDescent="0.65">
      <c r="A74" s="11">
        <v>5710</v>
      </c>
      <c r="B74" s="11" t="s">
        <v>73</v>
      </c>
      <c r="C74" s="12">
        <v>2</v>
      </c>
      <c r="D74" s="1">
        <v>19440000</v>
      </c>
      <c r="E74" s="1"/>
      <c r="F74" s="1"/>
    </row>
    <row r="75" spans="1:6" x14ac:dyDescent="0.65">
      <c r="A75" s="13">
        <v>5711</v>
      </c>
      <c r="B75" s="13" t="s">
        <v>74</v>
      </c>
      <c r="C75" s="14">
        <v>2</v>
      </c>
      <c r="D75" s="4">
        <v>19440000</v>
      </c>
      <c r="E75" s="4"/>
      <c r="F75" s="4"/>
    </row>
    <row r="76" spans="1:6" x14ac:dyDescent="0.65">
      <c r="A76" s="11">
        <v>5722</v>
      </c>
      <c r="B76" s="11" t="s">
        <v>75</v>
      </c>
      <c r="C76" s="12">
        <v>2</v>
      </c>
      <c r="D76" s="1"/>
      <c r="E76" s="1"/>
      <c r="F76" s="1"/>
    </row>
    <row r="77" spans="1:6" x14ac:dyDescent="0.65">
      <c r="A77" s="13">
        <v>5727</v>
      </c>
      <c r="B77" s="13" t="s">
        <v>76</v>
      </c>
      <c r="C77" s="14">
        <v>2</v>
      </c>
      <c r="D77" s="4">
        <v>38880000</v>
      </c>
      <c r="E77" s="4"/>
      <c r="F77" s="4"/>
    </row>
    <row r="78" spans="1:6" x14ac:dyDescent="0.65">
      <c r="A78" s="11">
        <v>5734</v>
      </c>
      <c r="B78" s="11" t="s">
        <v>77</v>
      </c>
      <c r="C78" s="12">
        <v>2</v>
      </c>
      <c r="D78" s="1">
        <v>6480000</v>
      </c>
      <c r="E78" s="1">
        <v>40000000</v>
      </c>
      <c r="F78" s="1"/>
    </row>
    <row r="79" spans="1:6" x14ac:dyDescent="0.65">
      <c r="A79" s="13">
        <v>5744</v>
      </c>
      <c r="B79" s="13" t="s">
        <v>78</v>
      </c>
      <c r="C79" s="14">
        <v>2</v>
      </c>
      <c r="D79" s="4"/>
      <c r="E79" s="4">
        <v>100000000</v>
      </c>
      <c r="F79" s="4"/>
    </row>
    <row r="80" spans="1:6" x14ac:dyDescent="0.65">
      <c r="A80" s="11">
        <v>5749</v>
      </c>
      <c r="B80" s="11" t="s">
        <v>79</v>
      </c>
      <c r="C80" s="12">
        <v>2</v>
      </c>
      <c r="D80" s="1"/>
      <c r="E80" s="1"/>
      <c r="F80" s="1"/>
    </row>
    <row r="81" spans="1:6" x14ac:dyDescent="0.65">
      <c r="A81" s="13">
        <v>5765</v>
      </c>
      <c r="B81" s="13" t="s">
        <v>80</v>
      </c>
      <c r="C81" s="14">
        <v>2</v>
      </c>
      <c r="D81" s="4">
        <v>19440000</v>
      </c>
      <c r="E81" s="4"/>
      <c r="F81" s="4"/>
    </row>
    <row r="82" spans="1:6" x14ac:dyDescent="0.65">
      <c r="A82" s="11">
        <v>5766</v>
      </c>
      <c r="B82" s="11" t="s">
        <v>81</v>
      </c>
      <c r="C82" s="12">
        <v>2</v>
      </c>
      <c r="D82" s="1">
        <v>19440000</v>
      </c>
      <c r="E82" s="1"/>
      <c r="F82" s="1"/>
    </row>
    <row r="83" spans="1:6" x14ac:dyDescent="0.65">
      <c r="A83" s="13">
        <v>5771</v>
      </c>
      <c r="B83" s="13" t="s">
        <v>82</v>
      </c>
      <c r="C83" s="14">
        <v>2</v>
      </c>
      <c r="D83" s="4">
        <v>12960000</v>
      </c>
      <c r="E83" s="4"/>
      <c r="F83" s="4"/>
    </row>
    <row r="84" spans="1:6" s="5" customFormat="1" x14ac:dyDescent="0.65">
      <c r="A84" s="15">
        <v>5778</v>
      </c>
      <c r="B84" s="16" t="s">
        <v>83</v>
      </c>
      <c r="C84" s="16">
        <v>2</v>
      </c>
      <c r="D84" s="8"/>
      <c r="E84" s="8"/>
      <c r="F84" s="8"/>
    </row>
    <row r="85" spans="1:6" x14ac:dyDescent="0.65">
      <c r="A85" s="13">
        <v>5783</v>
      </c>
      <c r="B85" s="13" t="s">
        <v>84</v>
      </c>
      <c r="C85" s="14">
        <v>2</v>
      </c>
      <c r="D85" s="4">
        <v>51840000</v>
      </c>
      <c r="E85" s="4"/>
      <c r="F85" s="4"/>
    </row>
    <row r="86" spans="1:6" x14ac:dyDescent="0.65">
      <c r="A86" s="11">
        <v>5784</v>
      </c>
      <c r="B86" s="11" t="s">
        <v>85</v>
      </c>
      <c r="C86" s="12">
        <v>2</v>
      </c>
      <c r="D86" s="1">
        <v>32400000</v>
      </c>
      <c r="E86" s="1"/>
      <c r="F86" s="1"/>
    </row>
    <row r="87" spans="1:6" x14ac:dyDescent="0.65">
      <c r="A87" s="13">
        <v>5791</v>
      </c>
      <c r="B87" s="13" t="s">
        <v>86</v>
      </c>
      <c r="C87" s="14">
        <v>2</v>
      </c>
      <c r="D87" s="4">
        <v>6480000</v>
      </c>
      <c r="E87" s="4"/>
      <c r="F87" s="4"/>
    </row>
    <row r="88" spans="1:6" x14ac:dyDescent="0.65">
      <c r="A88" s="11">
        <v>5793</v>
      </c>
      <c r="B88" s="11" t="s">
        <v>87</v>
      </c>
      <c r="C88" s="12">
        <v>2</v>
      </c>
      <c r="D88" s="1"/>
      <c r="E88" s="1">
        <v>60000000</v>
      </c>
      <c r="F88" s="1"/>
    </row>
    <row r="89" spans="1:6" x14ac:dyDescent="0.65">
      <c r="A89" s="13">
        <v>5794</v>
      </c>
      <c r="B89" s="13" t="s">
        <v>88</v>
      </c>
      <c r="C89" s="14">
        <v>2</v>
      </c>
      <c r="D89" s="4"/>
      <c r="E89" s="4"/>
      <c r="F89" s="4"/>
    </row>
    <row r="90" spans="1:6" x14ac:dyDescent="0.65">
      <c r="A90" s="11">
        <v>5795</v>
      </c>
      <c r="B90" s="11" t="s">
        <v>89</v>
      </c>
      <c r="C90" s="12">
        <v>2</v>
      </c>
      <c r="D90" s="1"/>
      <c r="E90" s="1"/>
      <c r="F90" s="1"/>
    </row>
    <row r="91" spans="1:6" x14ac:dyDescent="0.65">
      <c r="A91" s="13">
        <v>5799</v>
      </c>
      <c r="B91" s="13" t="s">
        <v>90</v>
      </c>
      <c r="C91" s="14">
        <v>2</v>
      </c>
      <c r="D91" s="4"/>
      <c r="E91" s="4"/>
      <c r="F91" s="4"/>
    </row>
    <row r="92" spans="1:6" x14ac:dyDescent="0.65">
      <c r="A92" s="11">
        <v>5811</v>
      </c>
      <c r="B92" s="11" t="s">
        <v>91</v>
      </c>
      <c r="C92" s="12">
        <v>2</v>
      </c>
      <c r="D92" s="1">
        <v>25920000</v>
      </c>
      <c r="E92" s="1"/>
      <c r="F92" s="1"/>
    </row>
    <row r="93" spans="1:6" x14ac:dyDescent="0.65">
      <c r="A93" s="13">
        <v>5816</v>
      </c>
      <c r="B93" s="13" t="s">
        <v>92</v>
      </c>
      <c r="C93" s="14">
        <v>2</v>
      </c>
      <c r="D93" s="4">
        <v>6480000</v>
      </c>
      <c r="E93" s="4">
        <v>40000000</v>
      </c>
      <c r="F93" s="4"/>
    </row>
    <row r="94" spans="1:6" x14ac:dyDescent="0.65">
      <c r="A94" s="11">
        <v>5817</v>
      </c>
      <c r="B94" s="11" t="s">
        <v>93</v>
      </c>
      <c r="C94" s="12">
        <v>2</v>
      </c>
      <c r="D94" s="1"/>
      <c r="E94" s="1"/>
      <c r="F94" s="1"/>
    </row>
    <row r="95" spans="1:6" x14ac:dyDescent="0.65">
      <c r="A95" s="13">
        <v>5824</v>
      </c>
      <c r="B95" s="13" t="s">
        <v>94</v>
      </c>
      <c r="C95" s="14">
        <v>2</v>
      </c>
      <c r="D95" s="4"/>
      <c r="E95" s="4"/>
      <c r="F95" s="4"/>
    </row>
    <row r="96" spans="1:6" x14ac:dyDescent="0.65">
      <c r="A96" s="11">
        <v>5827</v>
      </c>
      <c r="B96" s="11" t="s">
        <v>95</v>
      </c>
      <c r="C96" s="12">
        <v>2</v>
      </c>
      <c r="D96" s="1"/>
      <c r="E96" s="1"/>
      <c r="F96" s="1"/>
    </row>
    <row r="97" spans="1:6" s="5" customFormat="1" x14ac:dyDescent="0.65">
      <c r="A97" s="17">
        <v>5829</v>
      </c>
      <c r="B97" s="18" t="s">
        <v>96</v>
      </c>
      <c r="C97" s="18">
        <v>2</v>
      </c>
      <c r="D97" s="6"/>
      <c r="E97" s="6"/>
      <c r="F97" s="6"/>
    </row>
    <row r="98" spans="1:6" x14ac:dyDescent="0.65">
      <c r="A98" s="19">
        <v>5832</v>
      </c>
      <c r="B98" s="12" t="s">
        <v>97</v>
      </c>
      <c r="C98" s="12">
        <v>2</v>
      </c>
      <c r="D98" s="1"/>
      <c r="E98" s="1"/>
      <c r="F98" s="1"/>
    </row>
    <row r="99" spans="1:6" x14ac:dyDescent="0.65">
      <c r="A99" s="13">
        <v>5833</v>
      </c>
      <c r="B99" s="13" t="s">
        <v>98</v>
      </c>
      <c r="C99" s="14">
        <v>2</v>
      </c>
      <c r="D99" s="4"/>
      <c r="E99" s="4"/>
      <c r="F99" s="4"/>
    </row>
    <row r="100" spans="1:6" x14ac:dyDescent="0.65">
      <c r="A100" s="11">
        <v>5835</v>
      </c>
      <c r="B100" s="11" t="s">
        <v>99</v>
      </c>
      <c r="C100" s="12">
        <v>2</v>
      </c>
      <c r="D100" s="1"/>
      <c r="E100" s="1"/>
      <c r="F100" s="1"/>
    </row>
    <row r="101" spans="1:6" x14ac:dyDescent="0.65">
      <c r="A101" s="13">
        <v>5837</v>
      </c>
      <c r="B101" s="13" t="s">
        <v>100</v>
      </c>
      <c r="C101" s="14">
        <v>2</v>
      </c>
      <c r="D101" s="4">
        <v>6480000</v>
      </c>
      <c r="E101" s="4"/>
      <c r="F101" s="4"/>
    </row>
    <row r="102" spans="1:6" x14ac:dyDescent="0.65">
      <c r="A102" s="11">
        <v>5842</v>
      </c>
      <c r="B102" s="11" t="s">
        <v>101</v>
      </c>
      <c r="C102" s="12">
        <v>2</v>
      </c>
      <c r="D102" s="1">
        <v>12960000</v>
      </c>
      <c r="E102" s="1">
        <v>40000000</v>
      </c>
      <c r="F102" s="1"/>
    </row>
    <row r="103" spans="1:6" x14ac:dyDescent="0.65">
      <c r="A103" s="13">
        <v>5843</v>
      </c>
      <c r="B103" s="13" t="s">
        <v>102</v>
      </c>
      <c r="C103" s="14">
        <v>2</v>
      </c>
      <c r="D103" s="4">
        <v>12960000</v>
      </c>
      <c r="E103" s="4"/>
      <c r="F103" s="4"/>
    </row>
    <row r="104" spans="1:6" x14ac:dyDescent="0.65">
      <c r="A104" s="11">
        <v>5847</v>
      </c>
      <c r="B104" s="11" t="s">
        <v>103</v>
      </c>
      <c r="C104" s="12">
        <v>2</v>
      </c>
      <c r="D104" s="1">
        <v>32400000</v>
      </c>
      <c r="E104" s="1"/>
      <c r="F104" s="1"/>
    </row>
    <row r="105" spans="1:6" x14ac:dyDescent="0.65">
      <c r="A105" s="13">
        <v>5848</v>
      </c>
      <c r="B105" s="13" t="s">
        <v>104</v>
      </c>
      <c r="C105" s="14">
        <v>2</v>
      </c>
      <c r="D105" s="4">
        <v>12960000</v>
      </c>
      <c r="E105" s="4"/>
      <c r="F105" s="4"/>
    </row>
    <row r="106" spans="1:6" x14ac:dyDescent="0.65">
      <c r="A106" s="11">
        <v>5851</v>
      </c>
      <c r="B106" s="11" t="s">
        <v>105</v>
      </c>
      <c r="C106" s="12">
        <v>2</v>
      </c>
      <c r="D106" s="1"/>
      <c r="E106" s="1"/>
      <c r="F106" s="1"/>
    </row>
    <row r="107" spans="1:6" x14ac:dyDescent="0.65">
      <c r="A107" s="19">
        <v>5857</v>
      </c>
      <c r="B107" s="12" t="s">
        <v>106</v>
      </c>
      <c r="C107" s="12">
        <v>2</v>
      </c>
      <c r="D107" s="1">
        <v>6480000</v>
      </c>
      <c r="E107" s="1"/>
      <c r="F107" s="1"/>
    </row>
    <row r="108" spans="1:6" x14ac:dyDescent="0.65">
      <c r="A108" s="13">
        <v>5863</v>
      </c>
      <c r="B108" s="13" t="s">
        <v>107</v>
      </c>
      <c r="C108" s="14">
        <v>2</v>
      </c>
      <c r="D108" s="4">
        <v>25920000</v>
      </c>
      <c r="E108" s="4"/>
      <c r="F108" s="4"/>
    </row>
    <row r="109" spans="1:6" x14ac:dyDescent="0.65">
      <c r="A109" s="11">
        <v>5867</v>
      </c>
      <c r="B109" s="11" t="s">
        <v>108</v>
      </c>
      <c r="C109" s="12">
        <v>2</v>
      </c>
      <c r="D109" s="1">
        <v>6480000</v>
      </c>
      <c r="E109" s="1"/>
      <c r="F109" s="1"/>
    </row>
    <row r="110" spans="1:6" x14ac:dyDescent="0.65">
      <c r="A110" s="13">
        <v>5870</v>
      </c>
      <c r="B110" s="13" t="s">
        <v>109</v>
      </c>
      <c r="C110" s="14">
        <v>2</v>
      </c>
      <c r="D110" s="4">
        <v>6480000</v>
      </c>
      <c r="E110" s="4"/>
      <c r="F110" s="4"/>
    </row>
    <row r="111" spans="1:6" x14ac:dyDescent="0.65">
      <c r="A111" s="11">
        <v>5876</v>
      </c>
      <c r="B111" s="11" t="s">
        <v>110</v>
      </c>
      <c r="C111" s="12">
        <v>2</v>
      </c>
      <c r="D111" s="1"/>
      <c r="E111" s="1"/>
      <c r="F111" s="1"/>
    </row>
    <row r="112" spans="1:6" x14ac:dyDescent="0.65">
      <c r="A112" s="13">
        <v>5883</v>
      </c>
      <c r="B112" s="13" t="s">
        <v>111</v>
      </c>
      <c r="C112" s="14">
        <v>2</v>
      </c>
      <c r="D112" s="4">
        <v>38880000</v>
      </c>
      <c r="E112" s="4"/>
      <c r="F112" s="4">
        <v>21887016</v>
      </c>
    </row>
    <row r="113" spans="1:6" x14ac:dyDescent="0.65">
      <c r="A113" s="11">
        <v>5885</v>
      </c>
      <c r="B113" s="11" t="s">
        <v>112</v>
      </c>
      <c r="C113" s="12">
        <v>2</v>
      </c>
      <c r="D113" s="1">
        <v>12960000</v>
      </c>
      <c r="E113" s="1"/>
      <c r="F113" s="1"/>
    </row>
    <row r="114" spans="1:6" x14ac:dyDescent="0.65">
      <c r="A114" s="13">
        <v>5886</v>
      </c>
      <c r="B114" s="13" t="s">
        <v>113</v>
      </c>
      <c r="C114" s="14">
        <v>2</v>
      </c>
      <c r="D114" s="4">
        <v>6480000</v>
      </c>
      <c r="E114" s="4"/>
      <c r="F114" s="4"/>
    </row>
    <row r="115" spans="1:6" x14ac:dyDescent="0.65">
      <c r="A115" s="11">
        <v>5887</v>
      </c>
      <c r="B115" s="11" t="s">
        <v>114</v>
      </c>
      <c r="C115" s="12">
        <v>2</v>
      </c>
      <c r="D115" s="1">
        <v>6480000</v>
      </c>
      <c r="E115" s="1"/>
      <c r="F115" s="1"/>
    </row>
    <row r="116" spans="1:6" x14ac:dyDescent="0.65">
      <c r="A116" s="13">
        <v>5889</v>
      </c>
      <c r="B116" s="13" t="s">
        <v>115</v>
      </c>
      <c r="C116" s="14">
        <v>2</v>
      </c>
      <c r="D116" s="4"/>
      <c r="E116" s="4"/>
      <c r="F116" s="4"/>
    </row>
    <row r="117" spans="1:6" x14ac:dyDescent="0.65">
      <c r="A117" s="11">
        <v>5890</v>
      </c>
      <c r="B117" s="11" t="s">
        <v>116</v>
      </c>
      <c r="C117" s="12">
        <v>2</v>
      </c>
      <c r="D117" s="1">
        <v>19440000</v>
      </c>
      <c r="E117" s="1"/>
      <c r="F117" s="1"/>
    </row>
    <row r="118" spans="1:6" x14ac:dyDescent="0.65">
      <c r="A118" s="11">
        <v>5898</v>
      </c>
      <c r="B118" s="11" t="s">
        <v>117</v>
      </c>
      <c r="C118" s="12">
        <v>2</v>
      </c>
      <c r="D118" s="1">
        <v>25920000</v>
      </c>
      <c r="E118" s="1"/>
      <c r="F118" s="1"/>
    </row>
    <row r="119" spans="1:6" x14ac:dyDescent="0.65">
      <c r="A119" s="13">
        <v>5900</v>
      </c>
      <c r="B119" s="13" t="s">
        <v>118</v>
      </c>
      <c r="C119" s="14">
        <v>2</v>
      </c>
      <c r="D119" s="4">
        <v>6480000</v>
      </c>
      <c r="E119" s="4"/>
      <c r="F119" s="4"/>
    </row>
    <row r="120" spans="1:6" x14ac:dyDescent="0.65">
      <c r="A120" s="11">
        <v>5902</v>
      </c>
      <c r="B120" s="11" t="s">
        <v>119</v>
      </c>
      <c r="C120" s="12">
        <v>2</v>
      </c>
      <c r="D120" s="1"/>
      <c r="E120" s="1"/>
      <c r="F120" s="1"/>
    </row>
    <row r="121" spans="1:6" x14ac:dyDescent="0.65">
      <c r="A121" s="13">
        <v>5904</v>
      </c>
      <c r="B121" s="13" t="s">
        <v>120</v>
      </c>
      <c r="C121" s="14">
        <v>2</v>
      </c>
      <c r="D121" s="4"/>
      <c r="E121" s="4"/>
      <c r="F121" s="4"/>
    </row>
    <row r="122" spans="1:6" x14ac:dyDescent="0.65">
      <c r="A122" s="11">
        <v>5905</v>
      </c>
      <c r="B122" s="11" t="s">
        <v>121</v>
      </c>
      <c r="C122" s="12">
        <v>2</v>
      </c>
      <c r="D122" s="1"/>
      <c r="E122" s="1"/>
      <c r="F122" s="1"/>
    </row>
    <row r="123" spans="1:6" x14ac:dyDescent="0.65">
      <c r="A123" s="13">
        <v>5906</v>
      </c>
      <c r="B123" s="13" t="s">
        <v>122</v>
      </c>
      <c r="C123" s="14">
        <v>2</v>
      </c>
      <c r="D123" s="4"/>
      <c r="E123" s="4"/>
      <c r="F123" s="4"/>
    </row>
    <row r="124" spans="1:6" x14ac:dyDescent="0.65">
      <c r="A124" s="11">
        <v>5907</v>
      </c>
      <c r="B124" s="11" t="s">
        <v>123</v>
      </c>
      <c r="C124" s="12">
        <v>2</v>
      </c>
      <c r="D124" s="1">
        <v>12960000</v>
      </c>
      <c r="E124" s="1">
        <v>99999999</v>
      </c>
      <c r="F124" s="1"/>
    </row>
    <row r="125" spans="1:6" x14ac:dyDescent="0.65">
      <c r="A125" s="11">
        <v>5909</v>
      </c>
      <c r="B125" s="11" t="s">
        <v>124</v>
      </c>
      <c r="C125" s="12">
        <v>2</v>
      </c>
      <c r="D125" s="1">
        <v>19440000</v>
      </c>
      <c r="E125" s="1"/>
      <c r="F125" s="1"/>
    </row>
    <row r="126" spans="1:6" x14ac:dyDescent="0.65">
      <c r="A126" s="13">
        <v>5914</v>
      </c>
      <c r="B126" s="13" t="s">
        <v>125</v>
      </c>
      <c r="C126" s="14">
        <v>2</v>
      </c>
      <c r="D126" s="4"/>
      <c r="E126" s="4">
        <v>176000000</v>
      </c>
      <c r="F126" s="4"/>
    </row>
    <row r="127" spans="1:6" x14ac:dyDescent="0.65">
      <c r="A127" s="11">
        <v>5918</v>
      </c>
      <c r="B127" s="11" t="s">
        <v>126</v>
      </c>
      <c r="C127" s="12">
        <v>2</v>
      </c>
      <c r="D127" s="1">
        <v>12960000</v>
      </c>
      <c r="E127" s="1"/>
      <c r="F127" s="1"/>
    </row>
    <row r="128" spans="1:6" x14ac:dyDescent="0.65">
      <c r="A128" s="13">
        <v>5919</v>
      </c>
      <c r="B128" s="13" t="s">
        <v>127</v>
      </c>
      <c r="C128" s="14">
        <v>2</v>
      </c>
      <c r="D128" s="4">
        <v>25920000</v>
      </c>
      <c r="E128" s="4">
        <v>40000000</v>
      </c>
      <c r="F128" s="4"/>
    </row>
    <row r="129" spans="1:6" x14ac:dyDescent="0.65">
      <c r="A129" s="11">
        <v>5920</v>
      </c>
      <c r="B129" s="11" t="s">
        <v>128</v>
      </c>
      <c r="C129" s="12">
        <v>2</v>
      </c>
      <c r="D129" s="1">
        <v>6480000</v>
      </c>
      <c r="E129" s="1"/>
      <c r="F129" s="1"/>
    </row>
    <row r="130" spans="1:6" s="5" customFormat="1" x14ac:dyDescent="0.65">
      <c r="A130" s="15">
        <v>5922</v>
      </c>
      <c r="B130" s="16" t="s">
        <v>129</v>
      </c>
      <c r="C130" s="16">
        <v>2</v>
      </c>
      <c r="D130" s="8"/>
      <c r="E130" s="8"/>
      <c r="F130" s="8"/>
    </row>
    <row r="131" spans="1:6" x14ac:dyDescent="0.65">
      <c r="A131" s="13">
        <v>5924</v>
      </c>
      <c r="B131" s="13" t="s">
        <v>130</v>
      </c>
      <c r="C131" s="14">
        <v>2</v>
      </c>
      <c r="D131" s="4">
        <v>12960000</v>
      </c>
      <c r="E131" s="4">
        <v>40000000</v>
      </c>
      <c r="F131" s="4"/>
    </row>
    <row r="132" spans="1:6" x14ac:dyDescent="0.65">
      <c r="A132" s="11">
        <v>5926</v>
      </c>
      <c r="B132" s="11" t="s">
        <v>131</v>
      </c>
      <c r="C132" s="12">
        <v>2</v>
      </c>
      <c r="D132" s="1">
        <v>25920000</v>
      </c>
      <c r="E132" s="1">
        <v>100000000</v>
      </c>
      <c r="F132" s="1"/>
    </row>
    <row r="133" spans="1:6" x14ac:dyDescent="0.65">
      <c r="A133" s="13">
        <v>5927</v>
      </c>
      <c r="B133" s="13" t="s">
        <v>132</v>
      </c>
      <c r="C133" s="14">
        <v>2</v>
      </c>
      <c r="D133" s="4">
        <v>6480000</v>
      </c>
      <c r="E133" s="4"/>
      <c r="F133" s="4"/>
    </row>
    <row r="134" spans="1:6" x14ac:dyDescent="0.65">
      <c r="A134" s="11">
        <v>5931</v>
      </c>
      <c r="B134" s="11" t="s">
        <v>133</v>
      </c>
      <c r="C134" s="12">
        <v>2</v>
      </c>
      <c r="D134" s="1">
        <v>25920000</v>
      </c>
      <c r="E134" s="1"/>
      <c r="F134" s="1"/>
    </row>
    <row r="135" spans="1:6" x14ac:dyDescent="0.65">
      <c r="A135" s="11">
        <v>5936</v>
      </c>
      <c r="B135" s="11" t="s">
        <v>134</v>
      </c>
      <c r="C135" s="12">
        <v>2</v>
      </c>
      <c r="D135" s="1">
        <v>25920000</v>
      </c>
      <c r="E135" s="1"/>
      <c r="F135" s="1"/>
    </row>
    <row r="136" spans="1:6" x14ac:dyDescent="0.65">
      <c r="A136" s="11">
        <v>5938</v>
      </c>
      <c r="B136" s="11" t="s">
        <v>135</v>
      </c>
      <c r="C136" s="12">
        <v>2</v>
      </c>
      <c r="D136" s="1">
        <v>6480000</v>
      </c>
      <c r="E136" s="1">
        <v>40000000</v>
      </c>
      <c r="F136" s="1"/>
    </row>
    <row r="137" spans="1:6" x14ac:dyDescent="0.65">
      <c r="A137" s="11">
        <v>5940</v>
      </c>
      <c r="B137" s="11" t="s">
        <v>136</v>
      </c>
      <c r="C137" s="12">
        <v>2</v>
      </c>
      <c r="D137" s="1">
        <v>6480000</v>
      </c>
      <c r="E137" s="1"/>
      <c r="F137" s="1"/>
    </row>
    <row r="138" spans="1:6" x14ac:dyDescent="0.65">
      <c r="A138" s="13">
        <v>5941</v>
      </c>
      <c r="B138" s="13" t="s">
        <v>137</v>
      </c>
      <c r="C138" s="14">
        <v>2</v>
      </c>
      <c r="D138" s="4">
        <v>6480000</v>
      </c>
      <c r="E138" s="4"/>
      <c r="F138" s="4"/>
    </row>
    <row r="139" spans="1:6" x14ac:dyDescent="0.65">
      <c r="A139" s="11">
        <v>5942</v>
      </c>
      <c r="B139" s="11" t="s">
        <v>138</v>
      </c>
      <c r="C139" s="12">
        <v>2</v>
      </c>
      <c r="D139" s="1">
        <v>6480000</v>
      </c>
      <c r="E139" s="1"/>
      <c r="F139" s="1"/>
    </row>
    <row r="140" spans="1:6" x14ac:dyDescent="0.65">
      <c r="A140" s="13">
        <v>5944</v>
      </c>
      <c r="B140" s="13" t="s">
        <v>139</v>
      </c>
      <c r="C140" s="14">
        <v>2</v>
      </c>
      <c r="D140" s="4">
        <v>19440000</v>
      </c>
      <c r="E140" s="4"/>
      <c r="F140" s="4"/>
    </row>
    <row r="141" spans="1:6" x14ac:dyDescent="0.65">
      <c r="A141" s="11">
        <v>5945</v>
      </c>
      <c r="B141" s="11" t="s">
        <v>140</v>
      </c>
      <c r="C141" s="12">
        <v>2</v>
      </c>
      <c r="D141" s="1"/>
      <c r="E141" s="1"/>
      <c r="F141" s="1"/>
    </row>
    <row r="142" spans="1:6" x14ac:dyDescent="0.65">
      <c r="A142" s="11">
        <v>5950</v>
      </c>
      <c r="B142" s="11" t="s">
        <v>141</v>
      </c>
      <c r="C142" s="12">
        <v>2</v>
      </c>
      <c r="D142" s="1">
        <v>25920000</v>
      </c>
      <c r="E142" s="1"/>
      <c r="F142" s="1"/>
    </row>
    <row r="143" spans="1:6" x14ac:dyDescent="0.65">
      <c r="A143" s="13">
        <v>5957</v>
      </c>
      <c r="B143" s="13" t="s">
        <v>142</v>
      </c>
      <c r="C143" s="14">
        <v>2</v>
      </c>
      <c r="D143" s="4">
        <v>6480000</v>
      </c>
      <c r="E143" s="4">
        <v>20000000</v>
      </c>
      <c r="F143" s="4"/>
    </row>
    <row r="144" spans="1:6" x14ac:dyDescent="0.65">
      <c r="A144" s="11">
        <v>5958</v>
      </c>
      <c r="B144" s="11" t="s">
        <v>143</v>
      </c>
      <c r="C144" s="12">
        <v>2</v>
      </c>
      <c r="D144" s="1"/>
      <c r="E144" s="1"/>
      <c r="F144" s="1"/>
    </row>
    <row r="145" spans="1:6" x14ac:dyDescent="0.65">
      <c r="A145" s="13">
        <v>5960</v>
      </c>
      <c r="B145" s="13" t="s">
        <v>144</v>
      </c>
      <c r="C145" s="14">
        <v>2</v>
      </c>
      <c r="D145" s="4">
        <v>25920000</v>
      </c>
      <c r="E145" s="4"/>
      <c r="F145" s="4"/>
    </row>
    <row r="146" spans="1:6" x14ac:dyDescent="0.65">
      <c r="A146" s="11">
        <v>5961</v>
      </c>
      <c r="B146" s="11" t="s">
        <v>145</v>
      </c>
      <c r="C146" s="12">
        <v>2</v>
      </c>
      <c r="D146" s="1">
        <v>25920000</v>
      </c>
      <c r="E146" s="1"/>
      <c r="F146" s="1"/>
    </row>
    <row r="147" spans="1:6" x14ac:dyDescent="0.65">
      <c r="A147" s="13">
        <v>5962</v>
      </c>
      <c r="B147" s="13" t="s">
        <v>146</v>
      </c>
      <c r="C147" s="14">
        <v>2</v>
      </c>
      <c r="D147" s="4">
        <v>12960000</v>
      </c>
      <c r="E147" s="4"/>
      <c r="F147" s="4"/>
    </row>
    <row r="148" spans="1:6" x14ac:dyDescent="0.65">
      <c r="A148" s="13">
        <v>5966</v>
      </c>
      <c r="B148" s="13" t="s">
        <v>147</v>
      </c>
      <c r="C148" s="14">
        <v>2</v>
      </c>
      <c r="D148" s="4">
        <v>12960000</v>
      </c>
      <c r="E148" s="4"/>
      <c r="F148" s="4"/>
    </row>
    <row r="149" spans="1:6" x14ac:dyDescent="0.65">
      <c r="A149" s="11">
        <v>5967</v>
      </c>
      <c r="B149" s="11" t="s">
        <v>148</v>
      </c>
      <c r="C149" s="12">
        <v>2</v>
      </c>
      <c r="D149" s="1"/>
      <c r="E149" s="1"/>
      <c r="F149" s="1"/>
    </row>
    <row r="150" spans="1:6" x14ac:dyDescent="0.65">
      <c r="A150" s="13">
        <v>5968</v>
      </c>
      <c r="B150" s="13" t="s">
        <v>149</v>
      </c>
      <c r="C150" s="14">
        <v>2</v>
      </c>
      <c r="D150" s="4">
        <v>19440000</v>
      </c>
      <c r="E150" s="4"/>
      <c r="F150" s="4"/>
    </row>
    <row r="151" spans="1:6" x14ac:dyDescent="0.65">
      <c r="A151" s="13">
        <v>5976</v>
      </c>
      <c r="B151" s="13" t="s">
        <v>150</v>
      </c>
      <c r="C151" s="14">
        <v>2</v>
      </c>
      <c r="D151" s="4">
        <v>19440000</v>
      </c>
      <c r="E151" s="4"/>
      <c r="F151" s="4"/>
    </row>
    <row r="152" spans="1:6" x14ac:dyDescent="0.65">
      <c r="A152" s="13">
        <v>5982</v>
      </c>
      <c r="B152" s="13" t="s">
        <v>151</v>
      </c>
      <c r="C152" s="14">
        <v>2</v>
      </c>
      <c r="D152" s="4"/>
      <c r="E152" s="4"/>
      <c r="F152" s="4"/>
    </row>
    <row r="153" spans="1:6" x14ac:dyDescent="0.65">
      <c r="A153" s="11">
        <v>5988</v>
      </c>
      <c r="B153" s="11" t="s">
        <v>152</v>
      </c>
      <c r="C153" s="12">
        <v>2</v>
      </c>
      <c r="D153" s="1">
        <v>25920000</v>
      </c>
      <c r="E153" s="1">
        <v>40000000</v>
      </c>
      <c r="F153" s="1"/>
    </row>
    <row r="154" spans="1:6" x14ac:dyDescent="0.65">
      <c r="A154" s="11">
        <v>5991</v>
      </c>
      <c r="B154" s="11" t="s">
        <v>153</v>
      </c>
      <c r="C154" s="12">
        <v>2</v>
      </c>
      <c r="D154" s="1">
        <v>19440000</v>
      </c>
      <c r="E154" s="1">
        <v>40000000</v>
      </c>
      <c r="F154" s="1"/>
    </row>
    <row r="155" spans="1:6" x14ac:dyDescent="0.65">
      <c r="A155" s="13">
        <v>5992</v>
      </c>
      <c r="B155" s="13" t="s">
        <v>154</v>
      </c>
      <c r="C155" s="14">
        <v>2</v>
      </c>
      <c r="D155" s="4">
        <v>19440000</v>
      </c>
      <c r="E155" s="4"/>
      <c r="F155" s="4"/>
    </row>
    <row r="156" spans="1:6" x14ac:dyDescent="0.65">
      <c r="A156" s="11">
        <v>5995</v>
      </c>
      <c r="B156" s="11" t="s">
        <v>155</v>
      </c>
      <c r="C156" s="12">
        <v>2</v>
      </c>
      <c r="D156" s="1">
        <v>6480000</v>
      </c>
      <c r="E156" s="1"/>
      <c r="F156" s="1"/>
    </row>
    <row r="157" spans="1:6" x14ac:dyDescent="0.65">
      <c r="A157" s="11">
        <v>5997</v>
      </c>
      <c r="B157" s="11" t="s">
        <v>156</v>
      </c>
      <c r="C157" s="12">
        <v>2</v>
      </c>
      <c r="D157" s="1"/>
      <c r="E157" s="1"/>
      <c r="F157" s="1"/>
    </row>
    <row r="158" spans="1:6" x14ac:dyDescent="0.65">
      <c r="A158" s="11">
        <v>6000</v>
      </c>
      <c r="B158" s="11" t="s">
        <v>157</v>
      </c>
      <c r="C158" s="12">
        <v>2</v>
      </c>
      <c r="D158" s="1"/>
      <c r="E158" s="1"/>
      <c r="F158" s="1"/>
    </row>
    <row r="159" spans="1:6" x14ac:dyDescent="0.65">
      <c r="A159" s="11">
        <v>6004</v>
      </c>
      <c r="B159" s="11" t="s">
        <v>158</v>
      </c>
      <c r="C159" s="12">
        <v>2</v>
      </c>
      <c r="D159" s="1">
        <v>25920000</v>
      </c>
      <c r="E159" s="1"/>
      <c r="F159" s="1"/>
    </row>
    <row r="160" spans="1:6" x14ac:dyDescent="0.65">
      <c r="A160" s="11">
        <v>6006</v>
      </c>
      <c r="B160" s="11" t="s">
        <v>159</v>
      </c>
      <c r="C160" s="12">
        <v>2</v>
      </c>
      <c r="D160" s="1">
        <v>6480000</v>
      </c>
      <c r="E160" s="1"/>
      <c r="F160" s="1"/>
    </row>
    <row r="161" spans="1:6" x14ac:dyDescent="0.65">
      <c r="A161" s="11">
        <v>6011</v>
      </c>
      <c r="B161" s="11" t="s">
        <v>160</v>
      </c>
      <c r="C161" s="12">
        <v>2</v>
      </c>
      <c r="D161" s="1"/>
      <c r="E161" s="1"/>
      <c r="F161" s="1"/>
    </row>
    <row r="162" spans="1:6" x14ac:dyDescent="0.65">
      <c r="A162" s="13">
        <v>6012</v>
      </c>
      <c r="B162" s="13" t="s">
        <v>161</v>
      </c>
      <c r="C162" s="14">
        <v>2</v>
      </c>
      <c r="D162" s="4">
        <v>6480000</v>
      </c>
      <c r="E162" s="4"/>
      <c r="F162" s="4"/>
    </row>
    <row r="163" spans="1:6" x14ac:dyDescent="0.65">
      <c r="A163" s="11">
        <v>6015</v>
      </c>
      <c r="B163" s="11" t="s">
        <v>162</v>
      </c>
      <c r="C163" s="12">
        <v>2</v>
      </c>
      <c r="D163" s="1"/>
      <c r="E163" s="1"/>
      <c r="F163" s="1"/>
    </row>
    <row r="164" spans="1:6" x14ac:dyDescent="0.65">
      <c r="A164" s="13">
        <v>6016</v>
      </c>
      <c r="B164" s="13" t="s">
        <v>163</v>
      </c>
      <c r="C164" s="14">
        <v>2</v>
      </c>
      <c r="D164" s="4"/>
      <c r="E164" s="4"/>
      <c r="F164" s="4"/>
    </row>
    <row r="165" spans="1:6" x14ac:dyDescent="0.65">
      <c r="A165" s="11">
        <v>6017</v>
      </c>
      <c r="B165" s="11" t="s">
        <v>164</v>
      </c>
      <c r="C165" s="12">
        <v>2</v>
      </c>
      <c r="D165" s="1"/>
      <c r="E165" s="1"/>
      <c r="F165" s="1"/>
    </row>
    <row r="166" spans="1:6" x14ac:dyDescent="0.65">
      <c r="A166" s="13">
        <v>6018</v>
      </c>
      <c r="B166" s="13" t="s">
        <v>165</v>
      </c>
      <c r="C166" s="14">
        <v>2</v>
      </c>
      <c r="D166" s="4">
        <v>19440000</v>
      </c>
      <c r="E166" s="4"/>
      <c r="F166" s="4"/>
    </row>
    <row r="167" spans="1:6" x14ac:dyDescent="0.65">
      <c r="A167" s="11">
        <v>6019</v>
      </c>
      <c r="B167" s="11" t="s">
        <v>166</v>
      </c>
      <c r="C167" s="12">
        <v>2</v>
      </c>
      <c r="D167" s="1"/>
      <c r="E167" s="1">
        <v>50000000</v>
      </c>
      <c r="F167" s="1"/>
    </row>
    <row r="168" spans="1:6" x14ac:dyDescent="0.65">
      <c r="A168" s="13">
        <v>6020</v>
      </c>
      <c r="B168" s="13" t="s">
        <v>167</v>
      </c>
      <c r="C168" s="14">
        <v>2</v>
      </c>
      <c r="D168" s="4"/>
      <c r="E168" s="4"/>
      <c r="F168" s="4">
        <v>13783502</v>
      </c>
    </row>
    <row r="169" spans="1:6" x14ac:dyDescent="0.65">
      <c r="A169" s="11">
        <v>6022</v>
      </c>
      <c r="B169" s="11" t="s">
        <v>168</v>
      </c>
      <c r="C169" s="12">
        <v>2</v>
      </c>
      <c r="D169" s="1"/>
      <c r="E169" s="1"/>
      <c r="F169" s="1"/>
    </row>
    <row r="170" spans="1:6" x14ac:dyDescent="0.65">
      <c r="A170" s="11">
        <v>6025</v>
      </c>
      <c r="B170" s="11" t="s">
        <v>169</v>
      </c>
      <c r="C170" s="12">
        <v>2</v>
      </c>
      <c r="D170" s="1"/>
      <c r="E170" s="1">
        <v>25000000</v>
      </c>
      <c r="F170" s="1"/>
    </row>
    <row r="171" spans="1:6" x14ac:dyDescent="0.65">
      <c r="A171" s="13">
        <v>6026</v>
      </c>
      <c r="B171" s="13" t="s">
        <v>170</v>
      </c>
      <c r="C171" s="14">
        <v>2</v>
      </c>
      <c r="D171" s="4">
        <v>6480000</v>
      </c>
      <c r="E171" s="4">
        <v>40000000</v>
      </c>
      <c r="F171" s="4"/>
    </row>
    <row r="172" spans="1:6" x14ac:dyDescent="0.65">
      <c r="A172" s="11">
        <v>6028</v>
      </c>
      <c r="B172" s="11" t="s">
        <v>171</v>
      </c>
      <c r="C172" s="12">
        <v>2</v>
      </c>
      <c r="D172" s="1">
        <v>12960000</v>
      </c>
      <c r="E172" s="1"/>
      <c r="F172" s="1"/>
    </row>
    <row r="173" spans="1:6" x14ac:dyDescent="0.65">
      <c r="A173" s="11">
        <v>6031</v>
      </c>
      <c r="B173" s="11" t="s">
        <v>172</v>
      </c>
      <c r="C173" s="12">
        <v>2</v>
      </c>
      <c r="D173" s="1"/>
      <c r="E173" s="1"/>
      <c r="F173" s="1"/>
    </row>
    <row r="174" spans="1:6" x14ac:dyDescent="0.65">
      <c r="A174" s="13">
        <v>6035</v>
      </c>
      <c r="B174" s="13" t="s">
        <v>173</v>
      </c>
      <c r="C174" s="14">
        <v>2</v>
      </c>
      <c r="D174" s="4"/>
      <c r="E174" s="4"/>
      <c r="F174" s="4"/>
    </row>
    <row r="175" spans="1:6" x14ac:dyDescent="0.65">
      <c r="A175" s="11">
        <v>6037</v>
      </c>
      <c r="B175" s="11" t="s">
        <v>174</v>
      </c>
      <c r="C175" s="12">
        <v>2</v>
      </c>
      <c r="D175" s="1">
        <v>25920000</v>
      </c>
      <c r="E175" s="1">
        <v>40000000</v>
      </c>
      <c r="F175" s="1"/>
    </row>
    <row r="176" spans="1:6" x14ac:dyDescent="0.65">
      <c r="A176" s="13">
        <v>6041</v>
      </c>
      <c r="B176" s="13" t="s">
        <v>175</v>
      </c>
      <c r="C176" s="14">
        <v>2</v>
      </c>
      <c r="D176" s="4">
        <v>25920000</v>
      </c>
      <c r="E176" s="4"/>
      <c r="F176" s="4"/>
    </row>
    <row r="177" spans="1:6" x14ac:dyDescent="0.65">
      <c r="A177" s="11">
        <v>6042</v>
      </c>
      <c r="B177" s="11" t="s">
        <v>176</v>
      </c>
      <c r="C177" s="12">
        <v>2</v>
      </c>
      <c r="D177" s="1">
        <v>6480000</v>
      </c>
      <c r="E177" s="1"/>
      <c r="F177" s="1"/>
    </row>
    <row r="178" spans="1:6" x14ac:dyDescent="0.65">
      <c r="A178" s="13">
        <v>6044</v>
      </c>
      <c r="B178" s="13" t="s">
        <v>177</v>
      </c>
      <c r="C178" s="14">
        <v>2</v>
      </c>
      <c r="D178" s="4"/>
      <c r="E178" s="4"/>
      <c r="F178" s="4"/>
    </row>
    <row r="179" spans="1:6" x14ac:dyDescent="0.65">
      <c r="A179" s="11">
        <v>6045</v>
      </c>
      <c r="B179" s="11" t="s">
        <v>178</v>
      </c>
      <c r="C179" s="12">
        <v>2</v>
      </c>
      <c r="D179" s="1">
        <v>12960000</v>
      </c>
      <c r="E179" s="1"/>
      <c r="F179" s="1"/>
    </row>
    <row r="180" spans="1:6" x14ac:dyDescent="0.65">
      <c r="A180" s="13">
        <v>6046</v>
      </c>
      <c r="B180" s="13" t="s">
        <v>179</v>
      </c>
      <c r="C180" s="14">
        <v>2</v>
      </c>
      <c r="D180" s="4"/>
      <c r="E180" s="4"/>
      <c r="F180" s="4"/>
    </row>
    <row r="181" spans="1:6" x14ac:dyDescent="0.65">
      <c r="A181" s="13">
        <v>6055</v>
      </c>
      <c r="B181" s="13" t="s">
        <v>180</v>
      </c>
      <c r="C181" s="14">
        <v>2</v>
      </c>
      <c r="D181" s="4">
        <v>6480000</v>
      </c>
      <c r="E181" s="4"/>
      <c r="F181" s="4"/>
    </row>
    <row r="182" spans="1:6" x14ac:dyDescent="0.65">
      <c r="A182" s="11">
        <v>6057</v>
      </c>
      <c r="B182" s="11" t="s">
        <v>181</v>
      </c>
      <c r="C182" s="12">
        <v>2</v>
      </c>
      <c r="D182" s="1"/>
      <c r="E182" s="1">
        <v>20000000</v>
      </c>
      <c r="F182" s="1"/>
    </row>
    <row r="183" spans="1:6" x14ac:dyDescent="0.65">
      <c r="A183" s="13">
        <v>6059</v>
      </c>
      <c r="B183" s="13" t="s">
        <v>182</v>
      </c>
      <c r="C183" s="14">
        <v>2</v>
      </c>
      <c r="D183" s="4"/>
      <c r="E183" s="4"/>
      <c r="F183" s="4">
        <v>25400739</v>
      </c>
    </row>
    <row r="184" spans="1:6" x14ac:dyDescent="0.65">
      <c r="A184" s="11">
        <v>6061</v>
      </c>
      <c r="B184" s="11" t="s">
        <v>183</v>
      </c>
      <c r="C184" s="12">
        <v>2</v>
      </c>
      <c r="D184" s="1"/>
      <c r="E184" s="1"/>
      <c r="F184" s="1"/>
    </row>
    <row r="185" spans="1:6" x14ac:dyDescent="0.65">
      <c r="A185" s="13">
        <v>6064</v>
      </c>
      <c r="B185" s="13" t="s">
        <v>184</v>
      </c>
      <c r="C185" s="14">
        <v>2</v>
      </c>
      <c r="D185" s="4">
        <v>12960000</v>
      </c>
      <c r="E185" s="4"/>
      <c r="F185" s="4"/>
    </row>
    <row r="186" spans="1:6" x14ac:dyDescent="0.65">
      <c r="A186" s="11">
        <v>6069</v>
      </c>
      <c r="B186" s="11" t="s">
        <v>185</v>
      </c>
      <c r="C186" s="12">
        <v>2</v>
      </c>
      <c r="D186" s="1">
        <v>12960000</v>
      </c>
      <c r="E186" s="1"/>
      <c r="F186" s="1"/>
    </row>
    <row r="187" spans="1:6" x14ac:dyDescent="0.65">
      <c r="A187" s="13">
        <v>6072</v>
      </c>
      <c r="B187" s="13" t="s">
        <v>186</v>
      </c>
      <c r="C187" s="14">
        <v>2</v>
      </c>
      <c r="D187" s="4"/>
      <c r="E187" s="4"/>
      <c r="F187" s="4"/>
    </row>
    <row r="188" spans="1:6" x14ac:dyDescent="0.65">
      <c r="A188" s="11">
        <v>6075</v>
      </c>
      <c r="B188" s="11" t="s">
        <v>187</v>
      </c>
      <c r="C188" s="12">
        <v>2</v>
      </c>
      <c r="D188" s="1"/>
      <c r="E188" s="1"/>
      <c r="F188" s="1"/>
    </row>
    <row r="189" spans="1:6" x14ac:dyDescent="0.65">
      <c r="A189" s="13">
        <v>6076</v>
      </c>
      <c r="B189" s="13" t="s">
        <v>188</v>
      </c>
      <c r="C189" s="14">
        <v>2</v>
      </c>
      <c r="D189" s="4"/>
      <c r="E189" s="4"/>
      <c r="F189" s="4"/>
    </row>
    <row r="190" spans="1:6" x14ac:dyDescent="0.65">
      <c r="A190" s="13">
        <v>6079</v>
      </c>
      <c r="B190" s="13" t="s">
        <v>189</v>
      </c>
      <c r="C190" s="14">
        <v>2</v>
      </c>
      <c r="D190" s="4">
        <v>19440000</v>
      </c>
      <c r="E190" s="4"/>
      <c r="F190" s="4"/>
    </row>
    <row r="191" spans="1:6" x14ac:dyDescent="0.65">
      <c r="A191" s="13">
        <v>6084</v>
      </c>
      <c r="B191" s="13" t="s">
        <v>190</v>
      </c>
      <c r="C191" s="14">
        <v>2</v>
      </c>
      <c r="D191" s="4">
        <v>12960000</v>
      </c>
      <c r="E191" s="4"/>
      <c r="F191" s="4"/>
    </row>
    <row r="192" spans="1:6" x14ac:dyDescent="0.65">
      <c r="A192" s="13">
        <v>6087</v>
      </c>
      <c r="B192" s="13" t="s">
        <v>191</v>
      </c>
      <c r="C192" s="14">
        <v>2</v>
      </c>
      <c r="D192" s="4">
        <v>19440000</v>
      </c>
      <c r="E192" s="4"/>
      <c r="F192" s="4"/>
    </row>
    <row r="193" spans="1:6" x14ac:dyDescent="0.65">
      <c r="A193" s="11">
        <v>6088</v>
      </c>
      <c r="B193" s="11" t="s">
        <v>192</v>
      </c>
      <c r="C193" s="12">
        <v>2</v>
      </c>
      <c r="D193" s="1"/>
      <c r="E193" s="1">
        <v>40000000</v>
      </c>
      <c r="F193" s="1"/>
    </row>
    <row r="194" spans="1:6" x14ac:dyDescent="0.65">
      <c r="A194" s="13">
        <v>6089</v>
      </c>
      <c r="B194" s="13" t="s">
        <v>193</v>
      </c>
      <c r="C194" s="14">
        <v>2</v>
      </c>
      <c r="D194" s="4">
        <v>32400000</v>
      </c>
      <c r="E194" s="4"/>
      <c r="F194" s="4">
        <v>724350</v>
      </c>
    </row>
    <row r="195" spans="1:6" x14ac:dyDescent="0.65">
      <c r="A195" s="11">
        <v>6092</v>
      </c>
      <c r="B195" s="11" t="s">
        <v>194</v>
      </c>
      <c r="C195" s="12">
        <v>2</v>
      </c>
      <c r="D195" s="1">
        <v>6480000</v>
      </c>
      <c r="E195" s="1"/>
      <c r="F195" s="1"/>
    </row>
    <row r="196" spans="1:6" x14ac:dyDescent="0.65">
      <c r="A196" s="13">
        <v>6093</v>
      </c>
      <c r="B196" s="13" t="s">
        <v>195</v>
      </c>
      <c r="C196" s="14">
        <v>2</v>
      </c>
      <c r="D196" s="4">
        <v>25920000</v>
      </c>
      <c r="E196" s="4"/>
      <c r="F196" s="4"/>
    </row>
    <row r="197" spans="1:6" x14ac:dyDescent="0.65">
      <c r="A197" s="11">
        <v>6094</v>
      </c>
      <c r="B197" s="11" t="s">
        <v>196</v>
      </c>
      <c r="C197" s="12">
        <v>2</v>
      </c>
      <c r="D197" s="1"/>
      <c r="E197" s="1"/>
      <c r="F197" s="1"/>
    </row>
    <row r="198" spans="1:6" s="7" customFormat="1" x14ac:dyDescent="0.65">
      <c r="A198" s="17">
        <v>6095</v>
      </c>
      <c r="B198" s="18" t="s">
        <v>197</v>
      </c>
      <c r="C198" s="18">
        <v>2</v>
      </c>
      <c r="D198" s="6"/>
      <c r="E198" s="6"/>
      <c r="F198" s="6"/>
    </row>
    <row r="199" spans="1:6" x14ac:dyDescent="0.65">
      <c r="A199" s="11">
        <v>6098</v>
      </c>
      <c r="B199" s="11" t="s">
        <v>198</v>
      </c>
      <c r="C199" s="12">
        <v>2</v>
      </c>
      <c r="D199" s="1"/>
      <c r="E199" s="1"/>
      <c r="F199" s="1"/>
    </row>
    <row r="200" spans="1:6" s="7" customFormat="1" x14ac:dyDescent="0.65">
      <c r="A200" s="17">
        <v>6099</v>
      </c>
      <c r="B200" s="18" t="s">
        <v>199</v>
      </c>
      <c r="C200" s="18">
        <v>2</v>
      </c>
      <c r="D200" s="6"/>
      <c r="E200" s="6"/>
      <c r="F200" s="6"/>
    </row>
    <row r="201" spans="1:6" x14ac:dyDescent="0.65">
      <c r="A201" s="19">
        <v>6102</v>
      </c>
      <c r="B201" s="12" t="s">
        <v>200</v>
      </c>
      <c r="C201" s="12">
        <v>2</v>
      </c>
      <c r="D201" s="1"/>
      <c r="E201" s="1"/>
      <c r="F201" s="1"/>
    </row>
    <row r="202" spans="1:6" x14ac:dyDescent="0.65">
      <c r="A202" s="20">
        <v>6103</v>
      </c>
      <c r="B202" s="14" t="s">
        <v>201</v>
      </c>
      <c r="C202" s="14">
        <v>2</v>
      </c>
      <c r="D202" s="4"/>
      <c r="E202" s="4"/>
      <c r="F202" s="4"/>
    </row>
    <row r="203" spans="1:6" x14ac:dyDescent="0.65">
      <c r="A203" s="19">
        <v>6104</v>
      </c>
      <c r="B203" s="12" t="s">
        <v>202</v>
      </c>
      <c r="C203" s="12">
        <v>2</v>
      </c>
      <c r="D203" s="1"/>
      <c r="E203" s="1"/>
      <c r="F203" s="1"/>
    </row>
    <row r="204" spans="1:6" x14ac:dyDescent="0.65">
      <c r="A204" s="20">
        <v>6110</v>
      </c>
      <c r="B204" s="14" t="s">
        <v>203</v>
      </c>
      <c r="C204" s="14">
        <v>2</v>
      </c>
      <c r="D204" s="4"/>
      <c r="E204" s="4"/>
      <c r="F204" s="4"/>
    </row>
    <row r="205" spans="1:6" x14ac:dyDescent="0.65">
      <c r="A205" s="11">
        <v>6447</v>
      </c>
      <c r="B205" s="11" t="s">
        <v>204</v>
      </c>
      <c r="C205" s="12">
        <v>2</v>
      </c>
      <c r="D205" s="1">
        <v>19440000</v>
      </c>
      <c r="E205" s="1"/>
      <c r="F205" s="1"/>
    </row>
    <row r="206" spans="1:6" x14ac:dyDescent="0.65">
      <c r="A206" s="13">
        <v>9015</v>
      </c>
      <c r="B206" s="13" t="s">
        <v>205</v>
      </c>
      <c r="C206" s="14">
        <v>2</v>
      </c>
      <c r="D206" s="4">
        <v>6480000</v>
      </c>
      <c r="E206" s="4"/>
      <c r="F206" s="4"/>
    </row>
  </sheetData>
  <autoFilter ref="A1:F206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9920-EADB-4445-9C2C-87E1CC8DCFC5}">
  <dimension ref="A1:G231"/>
  <sheetViews>
    <sheetView rightToLeft="1" workbookViewId="0">
      <pane ySplit="1" topLeftCell="A127" activePane="bottomLeft" state="frozen"/>
      <selection pane="bottomLeft" sqref="A1:XFD1048576"/>
    </sheetView>
  </sheetViews>
  <sheetFormatPr defaultRowHeight="22.5" x14ac:dyDescent="0.65"/>
  <cols>
    <col min="1" max="1" width="7.75" style="22" bestFit="1" customWidth="1"/>
    <col min="2" max="2" width="24.25" style="22" bestFit="1" customWidth="1"/>
    <col min="3" max="3" width="7" style="9" bestFit="1" customWidth="1"/>
    <col min="4" max="4" width="16.375" style="2" bestFit="1" customWidth="1"/>
    <col min="5" max="5" width="14.375" style="2" bestFit="1" customWidth="1"/>
    <col min="6" max="6" width="19.25" style="2" bestFit="1" customWidth="1"/>
    <col min="7" max="7" width="9.375" style="33" bestFit="1" customWidth="1"/>
    <col min="8" max="16384" width="9" style="21"/>
  </cols>
  <sheetData>
    <row r="1" spans="1:7" x14ac:dyDescent="0.65">
      <c r="A1" s="25" t="s">
        <v>0</v>
      </c>
      <c r="B1" s="25" t="s">
        <v>1</v>
      </c>
      <c r="C1" s="25" t="s">
        <v>244</v>
      </c>
      <c r="D1" s="28" t="s">
        <v>209</v>
      </c>
      <c r="E1" s="28" t="s">
        <v>207</v>
      </c>
      <c r="F1" s="28" t="s">
        <v>208</v>
      </c>
      <c r="G1" s="28" t="s">
        <v>243</v>
      </c>
    </row>
    <row r="2" spans="1:7" x14ac:dyDescent="0.65">
      <c r="A2" s="23">
        <v>1905</v>
      </c>
      <c r="B2" s="24" t="s">
        <v>2</v>
      </c>
      <c r="C2" s="24">
        <v>3</v>
      </c>
      <c r="D2" s="29">
        <v>0</v>
      </c>
      <c r="E2" s="29">
        <v>0</v>
      </c>
      <c r="F2" s="29">
        <v>0</v>
      </c>
      <c r="G2" s="30"/>
    </row>
    <row r="3" spans="1:7" x14ac:dyDescent="0.65">
      <c r="A3" s="26">
        <v>3567</v>
      </c>
      <c r="B3" s="27" t="s">
        <v>3</v>
      </c>
      <c r="C3" s="27">
        <v>3</v>
      </c>
      <c r="D3" s="31">
        <v>0</v>
      </c>
      <c r="E3" s="31">
        <v>0</v>
      </c>
      <c r="F3" s="31">
        <v>0</v>
      </c>
      <c r="G3" s="32"/>
    </row>
    <row r="4" spans="1:7" x14ac:dyDescent="0.65">
      <c r="A4" s="23">
        <v>3607</v>
      </c>
      <c r="B4" s="24" t="s">
        <v>4</v>
      </c>
      <c r="C4" s="24">
        <v>3</v>
      </c>
      <c r="D4" s="29">
        <v>32400000</v>
      </c>
      <c r="E4" s="29">
        <v>0</v>
      </c>
      <c r="F4" s="29">
        <v>0</v>
      </c>
      <c r="G4" s="30"/>
    </row>
    <row r="5" spans="1:7" x14ac:dyDescent="0.65">
      <c r="A5" s="26">
        <v>3653</v>
      </c>
      <c r="B5" s="27" t="s">
        <v>5</v>
      </c>
      <c r="C5" s="27">
        <v>3</v>
      </c>
      <c r="D5" s="31">
        <v>32400000</v>
      </c>
      <c r="E5" s="31">
        <v>0</v>
      </c>
      <c r="F5" s="31">
        <v>0</v>
      </c>
      <c r="G5" s="32"/>
    </row>
    <row r="6" spans="1:7" x14ac:dyDescent="0.65">
      <c r="A6" s="23">
        <v>4590</v>
      </c>
      <c r="B6" s="24" t="s">
        <v>6</v>
      </c>
      <c r="C6" s="24">
        <v>3</v>
      </c>
      <c r="D6" s="29">
        <v>0</v>
      </c>
      <c r="E6" s="29">
        <v>0</v>
      </c>
      <c r="F6" s="29">
        <v>0</v>
      </c>
      <c r="G6" s="30"/>
    </row>
    <row r="7" spans="1:7" x14ac:dyDescent="0.65">
      <c r="A7" s="26">
        <v>4597</v>
      </c>
      <c r="B7" s="27" t="s">
        <v>7</v>
      </c>
      <c r="C7" s="27">
        <v>3</v>
      </c>
      <c r="D7" s="31">
        <v>25920000</v>
      </c>
      <c r="E7" s="31">
        <v>0</v>
      </c>
      <c r="F7" s="31">
        <v>0</v>
      </c>
      <c r="G7" s="32"/>
    </row>
    <row r="8" spans="1:7" x14ac:dyDescent="0.65">
      <c r="A8" s="23">
        <v>4598</v>
      </c>
      <c r="B8" s="24" t="s">
        <v>8</v>
      </c>
      <c r="C8" s="24">
        <v>3</v>
      </c>
      <c r="D8" s="29">
        <v>25920000</v>
      </c>
      <c r="E8" s="29">
        <v>40000000</v>
      </c>
      <c r="F8" s="29">
        <v>0</v>
      </c>
      <c r="G8" s="30"/>
    </row>
    <row r="9" spans="1:7" x14ac:dyDescent="0.65">
      <c r="A9" s="26">
        <v>4614</v>
      </c>
      <c r="B9" s="27" t="s">
        <v>9</v>
      </c>
      <c r="C9" s="27">
        <v>3</v>
      </c>
      <c r="D9" s="31">
        <v>19440000</v>
      </c>
      <c r="E9" s="31">
        <v>0</v>
      </c>
      <c r="F9" s="31">
        <v>0</v>
      </c>
      <c r="G9" s="32"/>
    </row>
    <row r="10" spans="1:7" x14ac:dyDescent="0.65">
      <c r="A10" s="23">
        <v>4621</v>
      </c>
      <c r="B10" s="24" t="s">
        <v>10</v>
      </c>
      <c r="C10" s="24">
        <v>3</v>
      </c>
      <c r="D10" s="29">
        <v>0</v>
      </c>
      <c r="E10" s="29">
        <v>13285793</v>
      </c>
      <c r="F10" s="29">
        <v>0</v>
      </c>
      <c r="G10" s="30"/>
    </row>
    <row r="11" spans="1:7" x14ac:dyDescent="0.65">
      <c r="A11" s="26">
        <v>4622</v>
      </c>
      <c r="B11" s="27" t="s">
        <v>11</v>
      </c>
      <c r="C11" s="27">
        <v>3</v>
      </c>
      <c r="D11" s="31">
        <v>25920000</v>
      </c>
      <c r="E11" s="31">
        <v>0</v>
      </c>
      <c r="F11" s="31">
        <v>0</v>
      </c>
      <c r="G11" s="32"/>
    </row>
    <row r="12" spans="1:7" x14ac:dyDescent="0.65">
      <c r="A12" s="23">
        <v>4636</v>
      </c>
      <c r="B12" s="24" t="s">
        <v>12</v>
      </c>
      <c r="C12" s="24">
        <v>3</v>
      </c>
      <c r="D12" s="29">
        <v>32400000</v>
      </c>
      <c r="E12" s="29">
        <v>0</v>
      </c>
      <c r="F12" s="29">
        <v>0</v>
      </c>
      <c r="G12" s="30"/>
    </row>
    <row r="13" spans="1:7" x14ac:dyDescent="0.65">
      <c r="A13" s="26">
        <v>4640</v>
      </c>
      <c r="B13" s="27" t="s">
        <v>13</v>
      </c>
      <c r="C13" s="27">
        <v>3</v>
      </c>
      <c r="D13" s="31">
        <v>19440000</v>
      </c>
      <c r="E13" s="31">
        <v>0</v>
      </c>
      <c r="F13" s="31">
        <v>0</v>
      </c>
      <c r="G13" s="32"/>
    </row>
    <row r="14" spans="1:7" x14ac:dyDescent="0.65">
      <c r="A14" s="23">
        <v>4643</v>
      </c>
      <c r="B14" s="24" t="s">
        <v>14</v>
      </c>
      <c r="C14" s="24">
        <v>3</v>
      </c>
      <c r="D14" s="29">
        <v>0</v>
      </c>
      <c r="E14" s="29">
        <v>0</v>
      </c>
      <c r="F14" s="29">
        <v>0</v>
      </c>
      <c r="G14" s="30"/>
    </row>
    <row r="15" spans="1:7" x14ac:dyDescent="0.65">
      <c r="A15" s="26">
        <v>4648</v>
      </c>
      <c r="B15" s="27" t="s">
        <v>15</v>
      </c>
      <c r="C15" s="27">
        <v>3</v>
      </c>
      <c r="D15" s="31">
        <v>19440000</v>
      </c>
      <c r="E15" s="31">
        <v>0</v>
      </c>
      <c r="F15" s="31">
        <v>0</v>
      </c>
      <c r="G15" s="32"/>
    </row>
    <row r="16" spans="1:7" x14ac:dyDescent="0.65">
      <c r="A16" s="23">
        <v>4651</v>
      </c>
      <c r="B16" s="24" t="s">
        <v>16</v>
      </c>
      <c r="C16" s="24">
        <v>3</v>
      </c>
      <c r="D16" s="29">
        <v>19440000</v>
      </c>
      <c r="E16" s="29">
        <v>0</v>
      </c>
      <c r="F16" s="29">
        <v>0</v>
      </c>
      <c r="G16" s="30"/>
    </row>
    <row r="17" spans="1:7" x14ac:dyDescent="0.65">
      <c r="A17" s="26">
        <v>4653</v>
      </c>
      <c r="B17" s="27" t="s">
        <v>17</v>
      </c>
      <c r="C17" s="27">
        <v>3</v>
      </c>
      <c r="D17" s="31">
        <v>32400000</v>
      </c>
      <c r="E17" s="31">
        <v>25000000</v>
      </c>
      <c r="F17" s="31">
        <v>0</v>
      </c>
      <c r="G17" s="32"/>
    </row>
    <row r="18" spans="1:7" x14ac:dyDescent="0.65">
      <c r="A18" s="23">
        <v>4654</v>
      </c>
      <c r="B18" s="24" t="s">
        <v>18</v>
      </c>
      <c r="C18" s="24">
        <v>3</v>
      </c>
      <c r="D18" s="29">
        <v>19440000</v>
      </c>
      <c r="E18" s="29">
        <v>0</v>
      </c>
      <c r="F18" s="29">
        <v>0</v>
      </c>
      <c r="G18" s="30"/>
    </row>
    <row r="19" spans="1:7" x14ac:dyDescent="0.65">
      <c r="A19" s="26">
        <v>4655</v>
      </c>
      <c r="B19" s="27" t="s">
        <v>19</v>
      </c>
      <c r="C19" s="27">
        <v>3</v>
      </c>
      <c r="D19" s="31">
        <v>12960000</v>
      </c>
      <c r="E19" s="31">
        <v>50000000</v>
      </c>
      <c r="F19" s="31">
        <v>0</v>
      </c>
      <c r="G19" s="32"/>
    </row>
    <row r="20" spans="1:7" x14ac:dyDescent="0.65">
      <c r="A20" s="23">
        <v>4656</v>
      </c>
      <c r="B20" s="24" t="s">
        <v>20</v>
      </c>
      <c r="C20" s="24">
        <v>3</v>
      </c>
      <c r="D20" s="29">
        <v>32400000</v>
      </c>
      <c r="E20" s="29">
        <v>0</v>
      </c>
      <c r="F20" s="29">
        <v>0</v>
      </c>
      <c r="G20" s="30"/>
    </row>
    <row r="21" spans="1:7" x14ac:dyDescent="0.65">
      <c r="A21" s="26">
        <v>4657</v>
      </c>
      <c r="B21" s="27" t="s">
        <v>21</v>
      </c>
      <c r="C21" s="27">
        <v>3</v>
      </c>
      <c r="D21" s="31">
        <v>25920000</v>
      </c>
      <c r="E21" s="31">
        <v>40000000</v>
      </c>
      <c r="F21" s="31">
        <v>0</v>
      </c>
      <c r="G21" s="32"/>
    </row>
    <row r="22" spans="1:7" x14ac:dyDescent="0.65">
      <c r="A22" s="23">
        <v>4658</v>
      </c>
      <c r="B22" s="24" t="s">
        <v>22</v>
      </c>
      <c r="C22" s="24">
        <v>3</v>
      </c>
      <c r="D22" s="29">
        <v>19440000</v>
      </c>
      <c r="E22" s="29">
        <v>0</v>
      </c>
      <c r="F22" s="29">
        <v>0</v>
      </c>
      <c r="G22" s="30"/>
    </row>
    <row r="23" spans="1:7" x14ac:dyDescent="0.65">
      <c r="A23" s="26">
        <v>4660</v>
      </c>
      <c r="B23" s="27" t="s">
        <v>23</v>
      </c>
      <c r="C23" s="27">
        <v>3</v>
      </c>
      <c r="D23" s="31">
        <v>25920000</v>
      </c>
      <c r="E23" s="31">
        <v>40000000</v>
      </c>
      <c r="F23" s="31">
        <v>0</v>
      </c>
      <c r="G23" s="32"/>
    </row>
    <row r="24" spans="1:7" x14ac:dyDescent="0.65">
      <c r="A24" s="23">
        <v>4661</v>
      </c>
      <c r="B24" s="24" t="s">
        <v>24</v>
      </c>
      <c r="C24" s="24">
        <v>3</v>
      </c>
      <c r="D24" s="29">
        <v>25920000</v>
      </c>
      <c r="E24" s="29">
        <v>0</v>
      </c>
      <c r="F24" s="29">
        <v>0</v>
      </c>
      <c r="G24" s="30"/>
    </row>
    <row r="25" spans="1:7" x14ac:dyDescent="0.65">
      <c r="A25" s="26">
        <v>4663</v>
      </c>
      <c r="B25" s="27" t="s">
        <v>25</v>
      </c>
      <c r="C25" s="27">
        <v>3</v>
      </c>
      <c r="D25" s="31">
        <v>51840000</v>
      </c>
      <c r="E25" s="31">
        <v>0</v>
      </c>
      <c r="F25" s="31">
        <v>0</v>
      </c>
      <c r="G25" s="32"/>
    </row>
    <row r="26" spans="1:7" x14ac:dyDescent="0.65">
      <c r="A26" s="23">
        <v>4664</v>
      </c>
      <c r="B26" s="24" t="s">
        <v>26</v>
      </c>
      <c r="C26" s="24">
        <v>3</v>
      </c>
      <c r="D26" s="29">
        <v>25920000</v>
      </c>
      <c r="E26" s="29">
        <v>0</v>
      </c>
      <c r="F26" s="29">
        <v>0</v>
      </c>
      <c r="G26" s="30"/>
    </row>
    <row r="27" spans="1:7" x14ac:dyDescent="0.65">
      <c r="A27" s="26">
        <v>4665</v>
      </c>
      <c r="B27" s="27" t="s">
        <v>27</v>
      </c>
      <c r="C27" s="27">
        <v>3</v>
      </c>
      <c r="D27" s="31">
        <v>0</v>
      </c>
      <c r="E27" s="31">
        <v>40000000</v>
      </c>
      <c r="F27" s="31">
        <v>0</v>
      </c>
      <c r="G27" s="32"/>
    </row>
    <row r="28" spans="1:7" x14ac:dyDescent="0.65">
      <c r="A28" s="23">
        <v>4666</v>
      </c>
      <c r="B28" s="24" t="s">
        <v>28</v>
      </c>
      <c r="C28" s="24">
        <v>3</v>
      </c>
      <c r="D28" s="29">
        <v>19440000</v>
      </c>
      <c r="E28" s="29">
        <v>80000000</v>
      </c>
      <c r="F28" s="29">
        <v>0</v>
      </c>
      <c r="G28" s="30"/>
    </row>
    <row r="29" spans="1:7" x14ac:dyDescent="0.65">
      <c r="A29" s="26">
        <v>4667</v>
      </c>
      <c r="B29" s="27" t="s">
        <v>29</v>
      </c>
      <c r="C29" s="27">
        <v>3</v>
      </c>
      <c r="D29" s="31">
        <v>0</v>
      </c>
      <c r="E29" s="31">
        <v>0</v>
      </c>
      <c r="F29" s="31">
        <v>0</v>
      </c>
      <c r="G29" s="32"/>
    </row>
    <row r="30" spans="1:7" x14ac:dyDescent="0.65">
      <c r="A30" s="23">
        <v>4668</v>
      </c>
      <c r="B30" s="24" t="s">
        <v>30</v>
      </c>
      <c r="C30" s="24">
        <v>3</v>
      </c>
      <c r="D30" s="29">
        <v>25920000</v>
      </c>
      <c r="E30" s="29">
        <v>0</v>
      </c>
      <c r="F30" s="29">
        <v>0</v>
      </c>
      <c r="G30" s="30"/>
    </row>
    <row r="31" spans="1:7" x14ac:dyDescent="0.65">
      <c r="A31" s="26">
        <v>4669</v>
      </c>
      <c r="B31" s="27" t="s">
        <v>31</v>
      </c>
      <c r="C31" s="27">
        <v>3</v>
      </c>
      <c r="D31" s="31">
        <v>45360000</v>
      </c>
      <c r="E31" s="31">
        <v>0</v>
      </c>
      <c r="F31" s="31">
        <v>0</v>
      </c>
      <c r="G31" s="32"/>
    </row>
    <row r="32" spans="1:7" x14ac:dyDescent="0.65">
      <c r="A32" s="23">
        <v>4670</v>
      </c>
      <c r="B32" s="24" t="s">
        <v>32</v>
      </c>
      <c r="C32" s="24">
        <v>3</v>
      </c>
      <c r="D32" s="29">
        <v>19440000</v>
      </c>
      <c r="E32" s="29">
        <v>40000000</v>
      </c>
      <c r="F32" s="29">
        <v>0</v>
      </c>
      <c r="G32" s="30"/>
    </row>
    <row r="33" spans="1:7" x14ac:dyDescent="0.65">
      <c r="A33" s="26">
        <v>4671</v>
      </c>
      <c r="B33" s="27" t="s">
        <v>33</v>
      </c>
      <c r="C33" s="27">
        <v>3</v>
      </c>
      <c r="D33" s="31">
        <v>19440000</v>
      </c>
      <c r="E33" s="31">
        <v>85638888</v>
      </c>
      <c r="F33" s="31">
        <v>0</v>
      </c>
      <c r="G33" s="32"/>
    </row>
    <row r="34" spans="1:7" x14ac:dyDescent="0.65">
      <c r="A34" s="23">
        <v>4673</v>
      </c>
      <c r="B34" s="24" t="s">
        <v>34</v>
      </c>
      <c r="C34" s="24">
        <v>3</v>
      </c>
      <c r="D34" s="29">
        <v>19440000</v>
      </c>
      <c r="E34" s="29">
        <v>0</v>
      </c>
      <c r="F34" s="29">
        <v>0</v>
      </c>
      <c r="G34" s="30"/>
    </row>
    <row r="35" spans="1:7" x14ac:dyDescent="0.65">
      <c r="A35" s="26">
        <v>4686</v>
      </c>
      <c r="B35" s="27" t="s">
        <v>35</v>
      </c>
      <c r="C35" s="27">
        <v>3</v>
      </c>
      <c r="D35" s="31">
        <v>12960000</v>
      </c>
      <c r="E35" s="31">
        <v>0</v>
      </c>
      <c r="F35" s="31">
        <v>0</v>
      </c>
      <c r="G35" s="32"/>
    </row>
    <row r="36" spans="1:7" x14ac:dyDescent="0.65">
      <c r="A36" s="23">
        <v>4687</v>
      </c>
      <c r="B36" s="24" t="s">
        <v>36</v>
      </c>
      <c r="C36" s="24">
        <v>3</v>
      </c>
      <c r="D36" s="29">
        <v>0</v>
      </c>
      <c r="E36" s="29">
        <v>0</v>
      </c>
      <c r="F36" s="29">
        <v>0</v>
      </c>
      <c r="G36" s="30"/>
    </row>
    <row r="37" spans="1:7" x14ac:dyDescent="0.65">
      <c r="A37" s="26">
        <v>4688</v>
      </c>
      <c r="B37" s="27" t="s">
        <v>37</v>
      </c>
      <c r="C37" s="27">
        <v>3</v>
      </c>
      <c r="D37" s="31">
        <v>25920000</v>
      </c>
      <c r="E37" s="31">
        <v>40000000</v>
      </c>
      <c r="F37" s="31">
        <v>0</v>
      </c>
      <c r="G37" s="32"/>
    </row>
    <row r="38" spans="1:7" x14ac:dyDescent="0.65">
      <c r="A38" s="23">
        <v>4689</v>
      </c>
      <c r="B38" s="24" t="s">
        <v>38</v>
      </c>
      <c r="C38" s="24">
        <v>3</v>
      </c>
      <c r="D38" s="29">
        <v>12960000</v>
      </c>
      <c r="E38" s="29">
        <v>0</v>
      </c>
      <c r="F38" s="29">
        <v>0</v>
      </c>
      <c r="G38" s="30"/>
    </row>
    <row r="39" spans="1:7" x14ac:dyDescent="0.65">
      <c r="A39" s="26">
        <v>4693</v>
      </c>
      <c r="B39" s="27" t="s">
        <v>39</v>
      </c>
      <c r="C39" s="27">
        <v>3</v>
      </c>
      <c r="D39" s="31">
        <v>6480000</v>
      </c>
      <c r="E39" s="31">
        <v>0</v>
      </c>
      <c r="F39" s="31">
        <v>0</v>
      </c>
      <c r="G39" s="32"/>
    </row>
    <row r="40" spans="1:7" x14ac:dyDescent="0.65">
      <c r="A40" s="23">
        <v>4701</v>
      </c>
      <c r="B40" s="24" t="s">
        <v>40</v>
      </c>
      <c r="C40" s="24">
        <v>3</v>
      </c>
      <c r="D40" s="29">
        <v>0</v>
      </c>
      <c r="E40" s="29">
        <v>0</v>
      </c>
      <c r="F40" s="29">
        <v>0</v>
      </c>
      <c r="G40" s="30"/>
    </row>
    <row r="41" spans="1:7" x14ac:dyDescent="0.65">
      <c r="A41" s="26">
        <v>4705</v>
      </c>
      <c r="B41" s="27" t="s">
        <v>41</v>
      </c>
      <c r="C41" s="27">
        <v>3</v>
      </c>
      <c r="D41" s="31">
        <v>6480000</v>
      </c>
      <c r="E41" s="31">
        <v>0</v>
      </c>
      <c r="F41" s="31">
        <v>0</v>
      </c>
      <c r="G41" s="32"/>
    </row>
    <row r="42" spans="1:7" x14ac:dyDescent="0.65">
      <c r="A42" s="23">
        <v>4727</v>
      </c>
      <c r="B42" s="24" t="s">
        <v>42</v>
      </c>
      <c r="C42" s="24">
        <v>3</v>
      </c>
      <c r="D42" s="29">
        <v>6480000</v>
      </c>
      <c r="E42" s="29">
        <v>0</v>
      </c>
      <c r="F42" s="29">
        <v>0</v>
      </c>
      <c r="G42" s="30"/>
    </row>
    <row r="43" spans="1:7" x14ac:dyDescent="0.65">
      <c r="A43" s="26">
        <v>4728</v>
      </c>
      <c r="B43" s="27" t="s">
        <v>43</v>
      </c>
      <c r="C43" s="27">
        <v>3</v>
      </c>
      <c r="D43" s="31">
        <v>6480000</v>
      </c>
      <c r="E43" s="31">
        <v>0</v>
      </c>
      <c r="F43" s="31">
        <v>0</v>
      </c>
      <c r="G43" s="32"/>
    </row>
    <row r="44" spans="1:7" x14ac:dyDescent="0.65">
      <c r="A44" s="23">
        <v>4731</v>
      </c>
      <c r="B44" s="24" t="s">
        <v>44</v>
      </c>
      <c r="C44" s="24">
        <v>3</v>
      </c>
      <c r="D44" s="29">
        <v>0</v>
      </c>
      <c r="E44" s="29">
        <v>0</v>
      </c>
      <c r="F44" s="29">
        <v>0</v>
      </c>
      <c r="G44" s="30"/>
    </row>
    <row r="45" spans="1:7" x14ac:dyDescent="0.65">
      <c r="A45" s="26">
        <v>4735</v>
      </c>
      <c r="B45" s="27" t="s">
        <v>45</v>
      </c>
      <c r="C45" s="27">
        <v>3</v>
      </c>
      <c r="D45" s="31">
        <v>32400000</v>
      </c>
      <c r="E45" s="31">
        <v>0</v>
      </c>
      <c r="F45" s="31">
        <v>0</v>
      </c>
      <c r="G45" s="32"/>
    </row>
    <row r="46" spans="1:7" x14ac:dyDescent="0.65">
      <c r="A46" s="23">
        <v>5616</v>
      </c>
      <c r="B46" s="24" t="s">
        <v>46</v>
      </c>
      <c r="C46" s="24">
        <v>3</v>
      </c>
      <c r="D46" s="29">
        <v>32400000</v>
      </c>
      <c r="E46" s="29">
        <v>0</v>
      </c>
      <c r="F46" s="29">
        <v>0</v>
      </c>
      <c r="G46" s="30"/>
    </row>
    <row r="47" spans="1:7" x14ac:dyDescent="0.65">
      <c r="A47" s="26">
        <v>5621</v>
      </c>
      <c r="B47" s="27" t="s">
        <v>47</v>
      </c>
      <c r="C47" s="27">
        <v>3</v>
      </c>
      <c r="D47" s="31">
        <v>19440000</v>
      </c>
      <c r="E47" s="31">
        <v>0</v>
      </c>
      <c r="F47" s="31">
        <v>0</v>
      </c>
      <c r="G47" s="32"/>
    </row>
    <row r="48" spans="1:7" x14ac:dyDescent="0.65">
      <c r="A48" s="23">
        <v>5623</v>
      </c>
      <c r="B48" s="24" t="s">
        <v>48</v>
      </c>
      <c r="C48" s="24">
        <v>3</v>
      </c>
      <c r="D48" s="29">
        <v>12960000</v>
      </c>
      <c r="E48" s="29">
        <v>0</v>
      </c>
      <c r="F48" s="29">
        <v>0</v>
      </c>
      <c r="G48" s="30"/>
    </row>
    <row r="49" spans="1:7" x14ac:dyDescent="0.65">
      <c r="A49" s="26">
        <v>5624</v>
      </c>
      <c r="B49" s="27" t="s">
        <v>49</v>
      </c>
      <c r="C49" s="27">
        <v>3</v>
      </c>
      <c r="D49" s="31">
        <v>19440000</v>
      </c>
      <c r="E49" s="31">
        <v>0</v>
      </c>
      <c r="F49" s="31">
        <v>0</v>
      </c>
      <c r="G49" s="32"/>
    </row>
    <row r="50" spans="1:7" x14ac:dyDescent="0.65">
      <c r="A50" s="23">
        <v>5626</v>
      </c>
      <c r="B50" s="24" t="s">
        <v>50</v>
      </c>
      <c r="C50" s="24">
        <v>3</v>
      </c>
      <c r="D50" s="29">
        <v>12960000</v>
      </c>
      <c r="E50" s="29">
        <v>0</v>
      </c>
      <c r="F50" s="29">
        <v>0</v>
      </c>
      <c r="G50" s="30"/>
    </row>
    <row r="51" spans="1:7" x14ac:dyDescent="0.65">
      <c r="A51" s="26">
        <v>5627</v>
      </c>
      <c r="B51" s="27" t="s">
        <v>51</v>
      </c>
      <c r="C51" s="27">
        <v>3</v>
      </c>
      <c r="D51" s="31">
        <v>12960000</v>
      </c>
      <c r="E51" s="31">
        <v>0</v>
      </c>
      <c r="F51" s="31">
        <v>0</v>
      </c>
      <c r="G51" s="32"/>
    </row>
    <row r="52" spans="1:7" x14ac:dyDescent="0.65">
      <c r="A52" s="23">
        <v>5628</v>
      </c>
      <c r="B52" s="24" t="s">
        <v>52</v>
      </c>
      <c r="C52" s="24">
        <v>3</v>
      </c>
      <c r="D52" s="29">
        <v>12960000</v>
      </c>
      <c r="E52" s="29">
        <v>0</v>
      </c>
      <c r="F52" s="29">
        <v>0</v>
      </c>
      <c r="G52" s="30"/>
    </row>
    <row r="53" spans="1:7" x14ac:dyDescent="0.65">
      <c r="A53" s="26">
        <v>5629</v>
      </c>
      <c r="B53" s="27" t="s">
        <v>53</v>
      </c>
      <c r="C53" s="27">
        <v>3</v>
      </c>
      <c r="D53" s="31">
        <v>12960000</v>
      </c>
      <c r="E53" s="31">
        <v>40000000</v>
      </c>
      <c r="F53" s="31">
        <v>0</v>
      </c>
      <c r="G53" s="32"/>
    </row>
    <row r="54" spans="1:7" x14ac:dyDescent="0.65">
      <c r="A54" s="23">
        <v>5630</v>
      </c>
      <c r="B54" s="24" t="s">
        <v>54</v>
      </c>
      <c r="C54" s="24">
        <v>3</v>
      </c>
      <c r="D54" s="29">
        <v>19440000</v>
      </c>
      <c r="E54" s="29">
        <v>0</v>
      </c>
      <c r="F54" s="29">
        <v>0</v>
      </c>
      <c r="G54" s="30"/>
    </row>
    <row r="55" spans="1:7" x14ac:dyDescent="0.65">
      <c r="A55" s="26">
        <v>5632</v>
      </c>
      <c r="B55" s="27" t="s">
        <v>55</v>
      </c>
      <c r="C55" s="27">
        <v>3</v>
      </c>
      <c r="D55" s="31">
        <v>25920000</v>
      </c>
      <c r="E55" s="31">
        <v>0</v>
      </c>
      <c r="F55" s="31">
        <v>0</v>
      </c>
      <c r="G55" s="32"/>
    </row>
    <row r="56" spans="1:7" x14ac:dyDescent="0.65">
      <c r="A56" s="23">
        <v>5634</v>
      </c>
      <c r="B56" s="24" t="s">
        <v>56</v>
      </c>
      <c r="C56" s="24">
        <v>3</v>
      </c>
      <c r="D56" s="29">
        <v>12960000</v>
      </c>
      <c r="E56" s="29">
        <v>0</v>
      </c>
      <c r="F56" s="29">
        <v>0</v>
      </c>
      <c r="G56" s="30"/>
    </row>
    <row r="57" spans="1:7" x14ac:dyDescent="0.65">
      <c r="A57" s="26">
        <v>5635</v>
      </c>
      <c r="B57" s="27" t="s">
        <v>57</v>
      </c>
      <c r="C57" s="27">
        <v>3</v>
      </c>
      <c r="D57" s="31">
        <v>25920000</v>
      </c>
      <c r="E57" s="31">
        <v>0</v>
      </c>
      <c r="F57" s="31">
        <v>0</v>
      </c>
      <c r="G57" s="32"/>
    </row>
    <row r="58" spans="1:7" x14ac:dyDescent="0.65">
      <c r="A58" s="23">
        <v>5637</v>
      </c>
      <c r="B58" s="24" t="s">
        <v>58</v>
      </c>
      <c r="C58" s="24">
        <v>3</v>
      </c>
      <c r="D58" s="29">
        <v>25920000</v>
      </c>
      <c r="E58" s="29">
        <v>0</v>
      </c>
      <c r="F58" s="29">
        <v>0</v>
      </c>
      <c r="G58" s="30"/>
    </row>
    <row r="59" spans="1:7" x14ac:dyDescent="0.65">
      <c r="A59" s="26">
        <v>5638</v>
      </c>
      <c r="B59" s="27" t="s">
        <v>59</v>
      </c>
      <c r="C59" s="27">
        <v>3</v>
      </c>
      <c r="D59" s="31">
        <v>12960000</v>
      </c>
      <c r="E59" s="31">
        <v>40000000</v>
      </c>
      <c r="F59" s="31">
        <v>0</v>
      </c>
      <c r="G59" s="32"/>
    </row>
    <row r="60" spans="1:7" x14ac:dyDescent="0.65">
      <c r="A60" s="23">
        <v>5642</v>
      </c>
      <c r="B60" s="24" t="s">
        <v>60</v>
      </c>
      <c r="C60" s="24">
        <v>3</v>
      </c>
      <c r="D60" s="29">
        <v>0</v>
      </c>
      <c r="E60" s="29">
        <v>0</v>
      </c>
      <c r="F60" s="29">
        <v>0</v>
      </c>
      <c r="G60" s="30"/>
    </row>
    <row r="61" spans="1:7" x14ac:dyDescent="0.65">
      <c r="A61" s="26">
        <v>5650</v>
      </c>
      <c r="B61" s="27" t="s">
        <v>61</v>
      </c>
      <c r="C61" s="27">
        <v>3</v>
      </c>
      <c r="D61" s="31">
        <v>0</v>
      </c>
      <c r="E61" s="31">
        <v>0</v>
      </c>
      <c r="F61" s="31">
        <v>0</v>
      </c>
      <c r="G61" s="32"/>
    </row>
    <row r="62" spans="1:7" x14ac:dyDescent="0.65">
      <c r="A62" s="23">
        <v>5653</v>
      </c>
      <c r="B62" s="24" t="s">
        <v>210</v>
      </c>
      <c r="C62" s="24">
        <v>3</v>
      </c>
      <c r="D62" s="29">
        <v>0</v>
      </c>
      <c r="E62" s="29">
        <v>0</v>
      </c>
      <c r="F62" s="29">
        <v>0</v>
      </c>
      <c r="G62" s="30"/>
    </row>
    <row r="63" spans="1:7" x14ac:dyDescent="0.65">
      <c r="A63" s="26">
        <v>5654</v>
      </c>
      <c r="B63" s="27" t="s">
        <v>62</v>
      </c>
      <c r="C63" s="27">
        <v>3</v>
      </c>
      <c r="D63" s="31">
        <v>0</v>
      </c>
      <c r="E63" s="31">
        <v>0</v>
      </c>
      <c r="F63" s="31">
        <v>0</v>
      </c>
      <c r="G63" s="32"/>
    </row>
    <row r="64" spans="1:7" x14ac:dyDescent="0.65">
      <c r="A64" s="23">
        <v>5655</v>
      </c>
      <c r="B64" s="24" t="s">
        <v>63</v>
      </c>
      <c r="C64" s="24">
        <v>3</v>
      </c>
      <c r="D64" s="29">
        <v>19440000</v>
      </c>
      <c r="E64" s="29">
        <v>40000000</v>
      </c>
      <c r="F64" s="29">
        <v>0</v>
      </c>
      <c r="G64" s="30"/>
    </row>
    <row r="65" spans="1:7" x14ac:dyDescent="0.65">
      <c r="A65" s="26">
        <v>5666</v>
      </c>
      <c r="B65" s="27" t="s">
        <v>64</v>
      </c>
      <c r="C65" s="27">
        <v>3</v>
      </c>
      <c r="D65" s="31">
        <v>0</v>
      </c>
      <c r="E65" s="31">
        <v>0</v>
      </c>
      <c r="F65" s="31">
        <v>0</v>
      </c>
      <c r="G65" s="32"/>
    </row>
    <row r="66" spans="1:7" x14ac:dyDescent="0.65">
      <c r="A66" s="23">
        <v>5671</v>
      </c>
      <c r="B66" s="24" t="s">
        <v>65</v>
      </c>
      <c r="C66" s="24">
        <v>3</v>
      </c>
      <c r="D66" s="29">
        <v>0</v>
      </c>
      <c r="E66" s="29">
        <v>0</v>
      </c>
      <c r="F66" s="29">
        <v>0</v>
      </c>
      <c r="G66" s="30"/>
    </row>
    <row r="67" spans="1:7" x14ac:dyDescent="0.65">
      <c r="A67" s="26">
        <v>5675</v>
      </c>
      <c r="B67" s="27" t="s">
        <v>66</v>
      </c>
      <c r="C67" s="27">
        <v>3</v>
      </c>
      <c r="D67" s="31">
        <v>12960000</v>
      </c>
      <c r="E67" s="31">
        <v>40000000</v>
      </c>
      <c r="F67" s="31">
        <v>0</v>
      </c>
      <c r="G67" s="32"/>
    </row>
    <row r="68" spans="1:7" x14ac:dyDescent="0.65">
      <c r="A68" s="23">
        <v>5684</v>
      </c>
      <c r="B68" s="24" t="s">
        <v>27</v>
      </c>
      <c r="C68" s="24">
        <v>3</v>
      </c>
      <c r="D68" s="29">
        <v>0</v>
      </c>
      <c r="E68" s="29">
        <v>0</v>
      </c>
      <c r="F68" s="29">
        <v>0</v>
      </c>
      <c r="G68" s="30"/>
    </row>
    <row r="69" spans="1:7" x14ac:dyDescent="0.65">
      <c r="A69" s="26">
        <v>5685</v>
      </c>
      <c r="B69" s="27" t="s">
        <v>67</v>
      </c>
      <c r="C69" s="27">
        <v>3</v>
      </c>
      <c r="D69" s="31">
        <v>19440000</v>
      </c>
      <c r="E69" s="31">
        <v>0</v>
      </c>
      <c r="F69" s="31">
        <v>0</v>
      </c>
      <c r="G69" s="32"/>
    </row>
    <row r="70" spans="1:7" x14ac:dyDescent="0.65">
      <c r="A70" s="23">
        <v>5699</v>
      </c>
      <c r="B70" s="24" t="s">
        <v>68</v>
      </c>
      <c r="C70" s="24">
        <v>3</v>
      </c>
      <c r="D70" s="29">
        <v>32400000</v>
      </c>
      <c r="E70" s="29">
        <v>0</v>
      </c>
      <c r="F70" s="29">
        <v>0</v>
      </c>
      <c r="G70" s="30"/>
    </row>
    <row r="71" spans="1:7" x14ac:dyDescent="0.65">
      <c r="A71" s="26">
        <v>5700</v>
      </c>
      <c r="B71" s="27" t="s">
        <v>69</v>
      </c>
      <c r="C71" s="27">
        <v>3</v>
      </c>
      <c r="D71" s="31">
        <v>0</v>
      </c>
      <c r="E71" s="31">
        <v>0</v>
      </c>
      <c r="F71" s="31">
        <v>0</v>
      </c>
      <c r="G71" s="32"/>
    </row>
    <row r="72" spans="1:7" x14ac:dyDescent="0.65">
      <c r="A72" s="23">
        <v>5705</v>
      </c>
      <c r="B72" s="24" t="s">
        <v>70</v>
      </c>
      <c r="C72" s="24">
        <v>3</v>
      </c>
      <c r="D72" s="29">
        <v>25920000</v>
      </c>
      <c r="E72" s="29">
        <v>0</v>
      </c>
      <c r="F72" s="29">
        <v>0</v>
      </c>
      <c r="G72" s="30"/>
    </row>
    <row r="73" spans="1:7" x14ac:dyDescent="0.65">
      <c r="A73" s="26">
        <v>5707</v>
      </c>
      <c r="B73" s="27" t="s">
        <v>71</v>
      </c>
      <c r="C73" s="27">
        <v>3</v>
      </c>
      <c r="D73" s="31">
        <v>0</v>
      </c>
      <c r="E73" s="31">
        <v>0</v>
      </c>
      <c r="F73" s="31">
        <v>0</v>
      </c>
      <c r="G73" s="32"/>
    </row>
    <row r="74" spans="1:7" x14ac:dyDescent="0.65">
      <c r="A74" s="23">
        <v>5708</v>
      </c>
      <c r="B74" s="24" t="s">
        <v>72</v>
      </c>
      <c r="C74" s="24">
        <v>3</v>
      </c>
      <c r="D74" s="29">
        <v>19440000</v>
      </c>
      <c r="E74" s="29">
        <v>0</v>
      </c>
      <c r="F74" s="29">
        <v>0</v>
      </c>
      <c r="G74" s="30"/>
    </row>
    <row r="75" spans="1:7" x14ac:dyDescent="0.65">
      <c r="A75" s="26">
        <v>5710</v>
      </c>
      <c r="B75" s="27" t="s">
        <v>73</v>
      </c>
      <c r="C75" s="27">
        <v>3</v>
      </c>
      <c r="D75" s="31">
        <v>19440000</v>
      </c>
      <c r="E75" s="31">
        <v>0</v>
      </c>
      <c r="F75" s="31">
        <v>0</v>
      </c>
      <c r="G75" s="32"/>
    </row>
    <row r="76" spans="1:7" x14ac:dyDescent="0.65">
      <c r="A76" s="23">
        <v>5711</v>
      </c>
      <c r="B76" s="24" t="s">
        <v>74</v>
      </c>
      <c r="C76" s="24">
        <v>3</v>
      </c>
      <c r="D76" s="29">
        <v>19440000</v>
      </c>
      <c r="E76" s="29">
        <v>0</v>
      </c>
      <c r="F76" s="29">
        <v>0</v>
      </c>
      <c r="G76" s="30"/>
    </row>
    <row r="77" spans="1:7" x14ac:dyDescent="0.65">
      <c r="A77" s="26">
        <v>5727</v>
      </c>
      <c r="B77" s="27" t="s">
        <v>76</v>
      </c>
      <c r="C77" s="27">
        <v>3</v>
      </c>
      <c r="D77" s="31">
        <v>38880000</v>
      </c>
      <c r="E77" s="31">
        <v>0</v>
      </c>
      <c r="F77" s="31">
        <v>0</v>
      </c>
      <c r="G77" s="32"/>
    </row>
    <row r="78" spans="1:7" x14ac:dyDescent="0.65">
      <c r="A78" s="23">
        <v>5734</v>
      </c>
      <c r="B78" s="24" t="s">
        <v>77</v>
      </c>
      <c r="C78" s="24">
        <v>3</v>
      </c>
      <c r="D78" s="29">
        <v>6480000</v>
      </c>
      <c r="E78" s="29">
        <v>40000000</v>
      </c>
      <c r="F78" s="29">
        <v>0</v>
      </c>
      <c r="G78" s="30"/>
    </row>
    <row r="79" spans="1:7" x14ac:dyDescent="0.65">
      <c r="A79" s="26">
        <v>5744</v>
      </c>
      <c r="B79" s="27" t="s">
        <v>78</v>
      </c>
      <c r="C79" s="27">
        <v>3</v>
      </c>
      <c r="D79" s="31">
        <v>0</v>
      </c>
      <c r="E79" s="31">
        <v>100000000</v>
      </c>
      <c r="F79" s="31">
        <v>0</v>
      </c>
      <c r="G79" s="32"/>
    </row>
    <row r="80" spans="1:7" x14ac:dyDescent="0.65">
      <c r="A80" s="23">
        <v>5749</v>
      </c>
      <c r="B80" s="24" t="s">
        <v>79</v>
      </c>
      <c r="C80" s="24">
        <v>3</v>
      </c>
      <c r="D80" s="29">
        <v>0</v>
      </c>
      <c r="E80" s="29">
        <v>0</v>
      </c>
      <c r="F80" s="29">
        <v>0</v>
      </c>
      <c r="G80" s="30"/>
    </row>
    <row r="81" spans="1:7" x14ac:dyDescent="0.65">
      <c r="A81" s="26">
        <v>5765</v>
      </c>
      <c r="B81" s="27" t="s">
        <v>80</v>
      </c>
      <c r="C81" s="27">
        <v>3</v>
      </c>
      <c r="D81" s="31">
        <v>19440000</v>
      </c>
      <c r="E81" s="31">
        <v>0</v>
      </c>
      <c r="F81" s="31">
        <v>0</v>
      </c>
      <c r="G81" s="32"/>
    </row>
    <row r="82" spans="1:7" x14ac:dyDescent="0.65">
      <c r="A82" s="23">
        <v>5766</v>
      </c>
      <c r="B82" s="24" t="s">
        <v>81</v>
      </c>
      <c r="C82" s="24">
        <v>3</v>
      </c>
      <c r="D82" s="29">
        <v>19440000</v>
      </c>
      <c r="E82" s="29">
        <v>0</v>
      </c>
      <c r="F82" s="29">
        <v>0</v>
      </c>
      <c r="G82" s="30"/>
    </row>
    <row r="83" spans="1:7" x14ac:dyDescent="0.65">
      <c r="A83" s="26">
        <v>5771</v>
      </c>
      <c r="B83" s="27" t="s">
        <v>82</v>
      </c>
      <c r="C83" s="27">
        <v>3</v>
      </c>
      <c r="D83" s="31">
        <v>12960000</v>
      </c>
      <c r="E83" s="31">
        <v>40000000</v>
      </c>
      <c r="F83" s="31">
        <v>0</v>
      </c>
      <c r="G83" s="32"/>
    </row>
    <row r="84" spans="1:7" x14ac:dyDescent="0.65">
      <c r="A84" s="23">
        <v>5778</v>
      </c>
      <c r="B84" s="24" t="s">
        <v>83</v>
      </c>
      <c r="C84" s="24">
        <v>3</v>
      </c>
      <c r="D84" s="29">
        <v>0</v>
      </c>
      <c r="E84" s="29">
        <v>0</v>
      </c>
      <c r="F84" s="29">
        <v>0</v>
      </c>
      <c r="G84" s="30"/>
    </row>
    <row r="85" spans="1:7" x14ac:dyDescent="0.65">
      <c r="A85" s="26">
        <v>5783</v>
      </c>
      <c r="B85" s="27" t="s">
        <v>84</v>
      </c>
      <c r="C85" s="27">
        <v>3</v>
      </c>
      <c r="D85" s="31">
        <v>51840000</v>
      </c>
      <c r="E85" s="31">
        <v>0</v>
      </c>
      <c r="F85" s="31">
        <v>0</v>
      </c>
      <c r="G85" s="32"/>
    </row>
    <row r="86" spans="1:7" x14ac:dyDescent="0.65">
      <c r="A86" s="23">
        <v>5784</v>
      </c>
      <c r="B86" s="24" t="s">
        <v>85</v>
      </c>
      <c r="C86" s="24">
        <v>3</v>
      </c>
      <c r="D86" s="29">
        <v>32400000</v>
      </c>
      <c r="E86" s="29">
        <v>40000000</v>
      </c>
      <c r="F86" s="29">
        <v>0</v>
      </c>
      <c r="G86" s="30"/>
    </row>
    <row r="87" spans="1:7" x14ac:dyDescent="0.65">
      <c r="A87" s="26">
        <v>5791</v>
      </c>
      <c r="B87" s="27" t="s">
        <v>86</v>
      </c>
      <c r="C87" s="27">
        <v>3</v>
      </c>
      <c r="D87" s="31">
        <v>6480000</v>
      </c>
      <c r="E87" s="31">
        <v>0</v>
      </c>
      <c r="F87" s="31">
        <v>0</v>
      </c>
      <c r="G87" s="32"/>
    </row>
    <row r="88" spans="1:7" x14ac:dyDescent="0.65">
      <c r="A88" s="23">
        <v>5793</v>
      </c>
      <c r="B88" s="24" t="s">
        <v>87</v>
      </c>
      <c r="C88" s="24">
        <v>3</v>
      </c>
      <c r="D88" s="29">
        <v>0</v>
      </c>
      <c r="E88" s="29">
        <v>40000000</v>
      </c>
      <c r="F88" s="29">
        <v>0</v>
      </c>
      <c r="G88" s="30"/>
    </row>
    <row r="89" spans="1:7" x14ac:dyDescent="0.65">
      <c r="A89" s="26">
        <v>5794</v>
      </c>
      <c r="B89" s="27" t="s">
        <v>88</v>
      </c>
      <c r="C89" s="27">
        <v>3</v>
      </c>
      <c r="D89" s="31">
        <v>0</v>
      </c>
      <c r="E89" s="31">
        <v>0</v>
      </c>
      <c r="F89" s="31">
        <v>0</v>
      </c>
      <c r="G89" s="32"/>
    </row>
    <row r="90" spans="1:7" x14ac:dyDescent="0.65">
      <c r="A90" s="23">
        <v>5795</v>
      </c>
      <c r="B90" s="24" t="s">
        <v>89</v>
      </c>
      <c r="C90" s="24">
        <v>3</v>
      </c>
      <c r="D90" s="29">
        <v>0</v>
      </c>
      <c r="E90" s="29">
        <v>0</v>
      </c>
      <c r="F90" s="29">
        <v>0</v>
      </c>
      <c r="G90" s="30"/>
    </row>
    <row r="91" spans="1:7" x14ac:dyDescent="0.65">
      <c r="A91" s="26">
        <v>5799</v>
      </c>
      <c r="B91" s="27" t="s">
        <v>90</v>
      </c>
      <c r="C91" s="27">
        <v>3</v>
      </c>
      <c r="D91" s="31">
        <v>0</v>
      </c>
      <c r="E91" s="31">
        <v>0</v>
      </c>
      <c r="F91" s="31">
        <v>0</v>
      </c>
      <c r="G91" s="32"/>
    </row>
    <row r="92" spans="1:7" x14ac:dyDescent="0.65">
      <c r="A92" s="23">
        <v>5811</v>
      </c>
      <c r="B92" s="24" t="s">
        <v>91</v>
      </c>
      <c r="C92" s="24">
        <v>3</v>
      </c>
      <c r="D92" s="29">
        <v>25920000</v>
      </c>
      <c r="E92" s="29">
        <v>0</v>
      </c>
      <c r="F92" s="29">
        <v>0</v>
      </c>
      <c r="G92" s="30"/>
    </row>
    <row r="93" spans="1:7" x14ac:dyDescent="0.65">
      <c r="A93" s="26">
        <v>5816</v>
      </c>
      <c r="B93" s="27" t="s">
        <v>92</v>
      </c>
      <c r="C93" s="27">
        <v>3</v>
      </c>
      <c r="D93" s="31">
        <v>6480000</v>
      </c>
      <c r="E93" s="31">
        <v>40000000</v>
      </c>
      <c r="F93" s="31">
        <v>0</v>
      </c>
      <c r="G93" s="32"/>
    </row>
    <row r="94" spans="1:7" x14ac:dyDescent="0.65">
      <c r="A94" s="23">
        <v>5824</v>
      </c>
      <c r="B94" s="24" t="s">
        <v>94</v>
      </c>
      <c r="C94" s="24">
        <v>3</v>
      </c>
      <c r="D94" s="29">
        <v>0</v>
      </c>
      <c r="E94" s="29">
        <v>0</v>
      </c>
      <c r="F94" s="29">
        <v>0</v>
      </c>
      <c r="G94" s="30"/>
    </row>
    <row r="95" spans="1:7" x14ac:dyDescent="0.65">
      <c r="A95" s="26">
        <v>5827</v>
      </c>
      <c r="B95" s="27" t="s">
        <v>95</v>
      </c>
      <c r="C95" s="27">
        <v>3</v>
      </c>
      <c r="D95" s="31">
        <v>0</v>
      </c>
      <c r="E95" s="31">
        <v>0</v>
      </c>
      <c r="F95" s="31">
        <v>0</v>
      </c>
      <c r="G95" s="32"/>
    </row>
    <row r="96" spans="1:7" x14ac:dyDescent="0.65">
      <c r="A96" s="23">
        <v>5829</v>
      </c>
      <c r="B96" s="24" t="s">
        <v>96</v>
      </c>
      <c r="C96" s="24">
        <v>3</v>
      </c>
      <c r="D96" s="29">
        <v>0</v>
      </c>
      <c r="E96" s="29">
        <v>0</v>
      </c>
      <c r="F96" s="29">
        <v>0</v>
      </c>
      <c r="G96" s="30"/>
    </row>
    <row r="97" spans="1:7" x14ac:dyDescent="0.65">
      <c r="A97" s="26">
        <v>5833</v>
      </c>
      <c r="B97" s="27" t="s">
        <v>98</v>
      </c>
      <c r="C97" s="27">
        <v>3</v>
      </c>
      <c r="D97" s="31">
        <v>0</v>
      </c>
      <c r="E97" s="31">
        <v>0</v>
      </c>
      <c r="F97" s="31">
        <v>0</v>
      </c>
      <c r="G97" s="32"/>
    </row>
    <row r="98" spans="1:7" x14ac:dyDescent="0.65">
      <c r="A98" s="23">
        <v>5837</v>
      </c>
      <c r="B98" s="24" t="s">
        <v>100</v>
      </c>
      <c r="C98" s="24">
        <v>3</v>
      </c>
      <c r="D98" s="29">
        <v>6480000</v>
      </c>
      <c r="E98" s="29">
        <v>0</v>
      </c>
      <c r="F98" s="29">
        <v>0</v>
      </c>
      <c r="G98" s="30"/>
    </row>
    <row r="99" spans="1:7" x14ac:dyDescent="0.65">
      <c r="A99" s="26">
        <v>5842</v>
      </c>
      <c r="B99" s="27" t="s">
        <v>101</v>
      </c>
      <c r="C99" s="27">
        <v>3</v>
      </c>
      <c r="D99" s="31">
        <v>12960000</v>
      </c>
      <c r="E99" s="31">
        <v>0</v>
      </c>
      <c r="F99" s="31">
        <v>0</v>
      </c>
      <c r="G99" s="32"/>
    </row>
    <row r="100" spans="1:7" x14ac:dyDescent="0.65">
      <c r="A100" s="23">
        <v>5843</v>
      </c>
      <c r="B100" s="24" t="s">
        <v>102</v>
      </c>
      <c r="C100" s="24">
        <v>3</v>
      </c>
      <c r="D100" s="29">
        <v>12960000</v>
      </c>
      <c r="E100" s="29">
        <v>40000000</v>
      </c>
      <c r="F100" s="29">
        <v>0</v>
      </c>
      <c r="G100" s="30"/>
    </row>
    <row r="101" spans="1:7" x14ac:dyDescent="0.65">
      <c r="A101" s="26">
        <v>5847</v>
      </c>
      <c r="B101" s="27" t="s">
        <v>103</v>
      </c>
      <c r="C101" s="27">
        <v>3</v>
      </c>
      <c r="D101" s="31">
        <v>32400000</v>
      </c>
      <c r="E101" s="31">
        <v>40000000</v>
      </c>
      <c r="F101" s="31">
        <v>0</v>
      </c>
      <c r="G101" s="32"/>
    </row>
    <row r="102" spans="1:7" x14ac:dyDescent="0.65">
      <c r="A102" s="23">
        <v>5848</v>
      </c>
      <c r="B102" s="24" t="s">
        <v>104</v>
      </c>
      <c r="C102" s="24">
        <v>3</v>
      </c>
      <c r="D102" s="29">
        <v>12960000</v>
      </c>
      <c r="E102" s="29">
        <v>0</v>
      </c>
      <c r="F102" s="29">
        <v>0</v>
      </c>
      <c r="G102" s="30"/>
    </row>
    <row r="103" spans="1:7" x14ac:dyDescent="0.65">
      <c r="A103" s="26">
        <v>5851</v>
      </c>
      <c r="B103" s="27" t="s">
        <v>105</v>
      </c>
      <c r="C103" s="27">
        <v>3</v>
      </c>
      <c r="D103" s="31">
        <v>0</v>
      </c>
      <c r="E103" s="31">
        <v>0</v>
      </c>
      <c r="F103" s="31">
        <v>0</v>
      </c>
      <c r="G103" s="32"/>
    </row>
    <row r="104" spans="1:7" x14ac:dyDescent="0.65">
      <c r="A104" s="23">
        <v>5853</v>
      </c>
      <c r="B104" s="24" t="s">
        <v>211</v>
      </c>
      <c r="C104" s="24">
        <v>3</v>
      </c>
      <c r="D104" s="29">
        <v>0</v>
      </c>
      <c r="E104" s="29">
        <v>0</v>
      </c>
      <c r="F104" s="29">
        <v>0</v>
      </c>
      <c r="G104" s="30"/>
    </row>
    <row r="105" spans="1:7" x14ac:dyDescent="0.65">
      <c r="A105" s="26">
        <v>5857</v>
      </c>
      <c r="B105" s="27" t="s">
        <v>106</v>
      </c>
      <c r="C105" s="27">
        <v>3</v>
      </c>
      <c r="D105" s="31">
        <v>6480000</v>
      </c>
      <c r="E105" s="31">
        <v>0</v>
      </c>
      <c r="F105" s="31">
        <v>0</v>
      </c>
      <c r="G105" s="32"/>
    </row>
    <row r="106" spans="1:7" x14ac:dyDescent="0.65">
      <c r="A106" s="23">
        <v>5863</v>
      </c>
      <c r="B106" s="24" t="s">
        <v>107</v>
      </c>
      <c r="C106" s="24">
        <v>3</v>
      </c>
      <c r="D106" s="29">
        <v>25920000</v>
      </c>
      <c r="E106" s="29">
        <v>0</v>
      </c>
      <c r="F106" s="29">
        <v>0</v>
      </c>
      <c r="G106" s="30"/>
    </row>
    <row r="107" spans="1:7" x14ac:dyDescent="0.65">
      <c r="A107" s="26">
        <v>5867</v>
      </c>
      <c r="B107" s="27" t="s">
        <v>108</v>
      </c>
      <c r="C107" s="27">
        <v>3</v>
      </c>
      <c r="D107" s="31">
        <v>6480000</v>
      </c>
      <c r="E107" s="31">
        <v>0</v>
      </c>
      <c r="F107" s="31">
        <v>0</v>
      </c>
      <c r="G107" s="32"/>
    </row>
    <row r="108" spans="1:7" x14ac:dyDescent="0.65">
      <c r="A108" s="23">
        <v>5870</v>
      </c>
      <c r="B108" s="24" t="s">
        <v>109</v>
      </c>
      <c r="C108" s="24">
        <v>3</v>
      </c>
      <c r="D108" s="29">
        <v>6480000</v>
      </c>
      <c r="E108" s="29">
        <v>0</v>
      </c>
      <c r="F108" s="29">
        <v>0</v>
      </c>
      <c r="G108" s="30"/>
    </row>
    <row r="109" spans="1:7" x14ac:dyDescent="0.65">
      <c r="A109" s="26">
        <v>5876</v>
      </c>
      <c r="B109" s="27" t="s">
        <v>110</v>
      </c>
      <c r="C109" s="27">
        <v>3</v>
      </c>
      <c r="D109" s="31">
        <v>0</v>
      </c>
      <c r="E109" s="31">
        <v>0</v>
      </c>
      <c r="F109" s="31">
        <v>0</v>
      </c>
      <c r="G109" s="32"/>
    </row>
    <row r="110" spans="1:7" x14ac:dyDescent="0.65">
      <c r="A110" s="23">
        <v>5883</v>
      </c>
      <c r="B110" s="24" t="s">
        <v>111</v>
      </c>
      <c r="C110" s="24">
        <v>3</v>
      </c>
      <c r="D110" s="29">
        <v>38880000</v>
      </c>
      <c r="E110" s="29">
        <v>0</v>
      </c>
      <c r="F110" s="29">
        <v>21887016</v>
      </c>
      <c r="G110" s="30"/>
    </row>
    <row r="111" spans="1:7" x14ac:dyDescent="0.65">
      <c r="A111" s="26">
        <v>5885</v>
      </c>
      <c r="B111" s="27" t="s">
        <v>112</v>
      </c>
      <c r="C111" s="27">
        <v>3</v>
      </c>
      <c r="D111" s="31">
        <v>12960000</v>
      </c>
      <c r="E111" s="31">
        <v>0</v>
      </c>
      <c r="F111" s="31">
        <v>0</v>
      </c>
      <c r="G111" s="32"/>
    </row>
    <row r="112" spans="1:7" x14ac:dyDescent="0.65">
      <c r="A112" s="23">
        <v>5887</v>
      </c>
      <c r="B112" s="24" t="s">
        <v>114</v>
      </c>
      <c r="C112" s="24">
        <v>3</v>
      </c>
      <c r="D112" s="29">
        <v>6480000</v>
      </c>
      <c r="E112" s="29">
        <v>0</v>
      </c>
      <c r="F112" s="29">
        <v>0</v>
      </c>
      <c r="G112" s="30"/>
    </row>
    <row r="113" spans="1:7" x14ac:dyDescent="0.65">
      <c r="A113" s="26">
        <v>5889</v>
      </c>
      <c r="B113" s="27" t="s">
        <v>115</v>
      </c>
      <c r="C113" s="27">
        <v>3</v>
      </c>
      <c r="D113" s="31">
        <v>0</v>
      </c>
      <c r="E113" s="31">
        <v>0</v>
      </c>
      <c r="F113" s="31">
        <v>0</v>
      </c>
      <c r="G113" s="32"/>
    </row>
    <row r="114" spans="1:7" x14ac:dyDescent="0.65">
      <c r="A114" s="23">
        <v>5890</v>
      </c>
      <c r="B114" s="24" t="s">
        <v>116</v>
      </c>
      <c r="C114" s="24">
        <v>3</v>
      </c>
      <c r="D114" s="29">
        <v>19440000</v>
      </c>
      <c r="E114" s="29">
        <v>0</v>
      </c>
      <c r="F114" s="29">
        <v>0</v>
      </c>
      <c r="G114" s="30"/>
    </row>
    <row r="115" spans="1:7" x14ac:dyDescent="0.65">
      <c r="A115" s="26">
        <v>5898</v>
      </c>
      <c r="B115" s="27" t="s">
        <v>117</v>
      </c>
      <c r="C115" s="27">
        <v>3</v>
      </c>
      <c r="D115" s="31">
        <v>25920000</v>
      </c>
      <c r="E115" s="31">
        <v>0</v>
      </c>
      <c r="F115" s="31">
        <v>0</v>
      </c>
      <c r="G115" s="32"/>
    </row>
    <row r="116" spans="1:7" x14ac:dyDescent="0.65">
      <c r="A116" s="23">
        <v>5900</v>
      </c>
      <c r="B116" s="24" t="s">
        <v>118</v>
      </c>
      <c r="C116" s="24">
        <v>3</v>
      </c>
      <c r="D116" s="29">
        <v>6480000</v>
      </c>
      <c r="E116" s="29">
        <v>0</v>
      </c>
      <c r="F116" s="29">
        <v>0</v>
      </c>
      <c r="G116" s="30"/>
    </row>
    <row r="117" spans="1:7" x14ac:dyDescent="0.65">
      <c r="A117" s="26">
        <v>5902</v>
      </c>
      <c r="B117" s="27" t="s">
        <v>119</v>
      </c>
      <c r="C117" s="27">
        <v>3</v>
      </c>
      <c r="D117" s="31">
        <v>0</v>
      </c>
      <c r="E117" s="31">
        <v>0</v>
      </c>
      <c r="F117" s="31">
        <v>0</v>
      </c>
      <c r="G117" s="32"/>
    </row>
    <row r="118" spans="1:7" x14ac:dyDescent="0.65">
      <c r="A118" s="23">
        <v>5905</v>
      </c>
      <c r="B118" s="24" t="s">
        <v>121</v>
      </c>
      <c r="C118" s="24">
        <v>3</v>
      </c>
      <c r="D118" s="29">
        <v>0</v>
      </c>
      <c r="E118" s="29">
        <v>0</v>
      </c>
      <c r="F118" s="29">
        <v>0</v>
      </c>
      <c r="G118" s="30"/>
    </row>
    <row r="119" spans="1:7" x14ac:dyDescent="0.65">
      <c r="A119" s="26">
        <v>5906</v>
      </c>
      <c r="B119" s="27" t="s">
        <v>122</v>
      </c>
      <c r="C119" s="27">
        <v>3</v>
      </c>
      <c r="D119" s="31">
        <v>0</v>
      </c>
      <c r="E119" s="31">
        <v>0</v>
      </c>
      <c r="F119" s="31">
        <v>0</v>
      </c>
      <c r="G119" s="32"/>
    </row>
    <row r="120" spans="1:7" x14ac:dyDescent="0.65">
      <c r="A120" s="23">
        <v>5907</v>
      </c>
      <c r="B120" s="24" t="s">
        <v>123</v>
      </c>
      <c r="C120" s="24">
        <v>3</v>
      </c>
      <c r="D120" s="29">
        <v>12960000</v>
      </c>
      <c r="E120" s="29">
        <v>99999999</v>
      </c>
      <c r="F120" s="29">
        <v>0</v>
      </c>
      <c r="G120" s="30"/>
    </row>
    <row r="121" spans="1:7" x14ac:dyDescent="0.65">
      <c r="A121" s="26">
        <v>5908</v>
      </c>
      <c r="B121" s="27" t="s">
        <v>212</v>
      </c>
      <c r="C121" s="27">
        <v>3</v>
      </c>
      <c r="D121" s="31">
        <v>0</v>
      </c>
      <c r="E121" s="31">
        <v>0</v>
      </c>
      <c r="F121" s="31">
        <v>0</v>
      </c>
      <c r="G121" s="32"/>
    </row>
    <row r="122" spans="1:7" x14ac:dyDescent="0.65">
      <c r="A122" s="23">
        <v>5909</v>
      </c>
      <c r="B122" s="24" t="s">
        <v>124</v>
      </c>
      <c r="C122" s="24">
        <v>3</v>
      </c>
      <c r="D122" s="29">
        <v>19440000</v>
      </c>
      <c r="E122" s="29">
        <v>0</v>
      </c>
      <c r="F122" s="29">
        <v>0</v>
      </c>
      <c r="G122" s="30"/>
    </row>
    <row r="123" spans="1:7" x14ac:dyDescent="0.65">
      <c r="A123" s="26">
        <v>5910</v>
      </c>
      <c r="B123" s="27" t="s">
        <v>213</v>
      </c>
      <c r="C123" s="27">
        <v>3</v>
      </c>
      <c r="D123" s="31">
        <v>0</v>
      </c>
      <c r="E123" s="31">
        <v>0</v>
      </c>
      <c r="F123" s="31">
        <v>0</v>
      </c>
      <c r="G123" s="32"/>
    </row>
    <row r="124" spans="1:7" x14ac:dyDescent="0.65">
      <c r="A124" s="23">
        <v>5914</v>
      </c>
      <c r="B124" s="24" t="s">
        <v>125</v>
      </c>
      <c r="C124" s="24">
        <v>3</v>
      </c>
      <c r="D124" s="29">
        <v>0</v>
      </c>
      <c r="E124" s="29">
        <v>176000000</v>
      </c>
      <c r="F124" s="29">
        <v>0</v>
      </c>
      <c r="G124" s="30"/>
    </row>
    <row r="125" spans="1:7" x14ac:dyDescent="0.65">
      <c r="A125" s="26">
        <v>5918</v>
      </c>
      <c r="B125" s="27" t="s">
        <v>126</v>
      </c>
      <c r="C125" s="27">
        <v>3</v>
      </c>
      <c r="D125" s="31">
        <v>12960000</v>
      </c>
      <c r="E125" s="31">
        <v>0</v>
      </c>
      <c r="F125" s="31">
        <v>0</v>
      </c>
      <c r="G125" s="32"/>
    </row>
    <row r="126" spans="1:7" x14ac:dyDescent="0.65">
      <c r="A126" s="23">
        <v>5919</v>
      </c>
      <c r="B126" s="24" t="s">
        <v>127</v>
      </c>
      <c r="C126" s="24">
        <v>3</v>
      </c>
      <c r="D126" s="29">
        <v>25920000</v>
      </c>
      <c r="E126" s="29">
        <v>40000000</v>
      </c>
      <c r="F126" s="29">
        <v>0</v>
      </c>
      <c r="G126" s="30"/>
    </row>
    <row r="127" spans="1:7" x14ac:dyDescent="0.65">
      <c r="A127" s="26">
        <v>5920</v>
      </c>
      <c r="B127" s="27" t="s">
        <v>128</v>
      </c>
      <c r="C127" s="27">
        <v>3</v>
      </c>
      <c r="D127" s="31">
        <v>6480000</v>
      </c>
      <c r="E127" s="31">
        <v>0</v>
      </c>
      <c r="F127" s="31">
        <v>0</v>
      </c>
      <c r="G127" s="32"/>
    </row>
    <row r="128" spans="1:7" x14ac:dyDescent="0.65">
      <c r="A128" s="23">
        <v>5924</v>
      </c>
      <c r="B128" s="24" t="s">
        <v>130</v>
      </c>
      <c r="C128" s="24">
        <v>3</v>
      </c>
      <c r="D128" s="29">
        <v>12960000</v>
      </c>
      <c r="E128" s="29">
        <v>40000000</v>
      </c>
      <c r="F128" s="29">
        <v>0</v>
      </c>
      <c r="G128" s="30"/>
    </row>
    <row r="129" spans="1:7" x14ac:dyDescent="0.65">
      <c r="A129" s="26">
        <v>5926</v>
      </c>
      <c r="B129" s="27" t="s">
        <v>131</v>
      </c>
      <c r="C129" s="27">
        <v>3</v>
      </c>
      <c r="D129" s="31">
        <v>25920000</v>
      </c>
      <c r="E129" s="31">
        <v>0</v>
      </c>
      <c r="F129" s="31">
        <v>0</v>
      </c>
      <c r="G129" s="32"/>
    </row>
    <row r="130" spans="1:7" x14ac:dyDescent="0.65">
      <c r="A130" s="23">
        <v>5927</v>
      </c>
      <c r="B130" s="24" t="s">
        <v>132</v>
      </c>
      <c r="C130" s="24">
        <v>3</v>
      </c>
      <c r="D130" s="29">
        <v>6480000</v>
      </c>
      <c r="E130" s="29">
        <v>0</v>
      </c>
      <c r="F130" s="29">
        <v>0</v>
      </c>
      <c r="G130" s="30"/>
    </row>
    <row r="131" spans="1:7" x14ac:dyDescent="0.65">
      <c r="A131" s="26">
        <v>5931</v>
      </c>
      <c r="B131" s="27" t="s">
        <v>133</v>
      </c>
      <c r="C131" s="27">
        <v>3</v>
      </c>
      <c r="D131" s="31">
        <v>25920000</v>
      </c>
      <c r="E131" s="31">
        <v>0</v>
      </c>
      <c r="F131" s="31">
        <v>0</v>
      </c>
      <c r="G131" s="32"/>
    </row>
    <row r="132" spans="1:7" x14ac:dyDescent="0.65">
      <c r="A132" s="23">
        <v>5936</v>
      </c>
      <c r="B132" s="24" t="s">
        <v>134</v>
      </c>
      <c r="C132" s="24">
        <v>3</v>
      </c>
      <c r="D132" s="29">
        <v>25920000</v>
      </c>
      <c r="E132" s="29">
        <v>0</v>
      </c>
      <c r="F132" s="29">
        <v>0</v>
      </c>
      <c r="G132" s="30"/>
    </row>
    <row r="133" spans="1:7" x14ac:dyDescent="0.65">
      <c r="A133" s="26">
        <v>5938</v>
      </c>
      <c r="B133" s="27" t="s">
        <v>135</v>
      </c>
      <c r="C133" s="27">
        <v>3</v>
      </c>
      <c r="D133" s="31">
        <v>6480000</v>
      </c>
      <c r="E133" s="31">
        <v>40000000</v>
      </c>
      <c r="F133" s="31">
        <v>0</v>
      </c>
      <c r="G133" s="32"/>
    </row>
    <row r="134" spans="1:7" x14ac:dyDescent="0.65">
      <c r="A134" s="23">
        <v>5940</v>
      </c>
      <c r="B134" s="24" t="s">
        <v>136</v>
      </c>
      <c r="C134" s="24">
        <v>3</v>
      </c>
      <c r="D134" s="29">
        <v>6480000</v>
      </c>
      <c r="E134" s="29">
        <v>0</v>
      </c>
      <c r="F134" s="29">
        <v>0</v>
      </c>
      <c r="G134" s="30"/>
    </row>
    <row r="135" spans="1:7" x14ac:dyDescent="0.65">
      <c r="A135" s="26">
        <v>5941</v>
      </c>
      <c r="B135" s="27" t="s">
        <v>137</v>
      </c>
      <c r="C135" s="27">
        <v>3</v>
      </c>
      <c r="D135" s="31">
        <v>6480000</v>
      </c>
      <c r="E135" s="31">
        <v>0</v>
      </c>
      <c r="F135" s="31">
        <v>0</v>
      </c>
      <c r="G135" s="32"/>
    </row>
    <row r="136" spans="1:7" x14ac:dyDescent="0.65">
      <c r="A136" s="23">
        <v>5942</v>
      </c>
      <c r="B136" s="24" t="s">
        <v>138</v>
      </c>
      <c r="C136" s="24">
        <v>3</v>
      </c>
      <c r="D136" s="29">
        <v>6480000</v>
      </c>
      <c r="E136" s="29">
        <v>0</v>
      </c>
      <c r="F136" s="29">
        <v>0</v>
      </c>
      <c r="G136" s="30"/>
    </row>
    <row r="137" spans="1:7" x14ac:dyDescent="0.65">
      <c r="A137" s="26">
        <v>5944</v>
      </c>
      <c r="B137" s="27" t="s">
        <v>139</v>
      </c>
      <c r="C137" s="27">
        <v>3</v>
      </c>
      <c r="D137" s="31">
        <v>19440000</v>
      </c>
      <c r="E137" s="31">
        <v>0</v>
      </c>
      <c r="F137" s="31">
        <v>0</v>
      </c>
      <c r="G137" s="32"/>
    </row>
    <row r="138" spans="1:7" x14ac:dyDescent="0.65">
      <c r="A138" s="23">
        <v>5945</v>
      </c>
      <c r="B138" s="24" t="s">
        <v>140</v>
      </c>
      <c r="C138" s="24">
        <v>3</v>
      </c>
      <c r="D138" s="29">
        <v>0</v>
      </c>
      <c r="E138" s="29">
        <v>0</v>
      </c>
      <c r="F138" s="29">
        <v>0</v>
      </c>
      <c r="G138" s="30"/>
    </row>
    <row r="139" spans="1:7" x14ac:dyDescent="0.65">
      <c r="A139" s="26">
        <v>5946</v>
      </c>
      <c r="B139" s="27" t="s">
        <v>214</v>
      </c>
      <c r="C139" s="27">
        <v>3</v>
      </c>
      <c r="D139" s="31">
        <v>0</v>
      </c>
      <c r="E139" s="31">
        <v>0</v>
      </c>
      <c r="F139" s="31">
        <v>0</v>
      </c>
      <c r="G139" s="32"/>
    </row>
    <row r="140" spans="1:7" x14ac:dyDescent="0.65">
      <c r="A140" s="23">
        <v>5950</v>
      </c>
      <c r="B140" s="24" t="s">
        <v>141</v>
      </c>
      <c r="C140" s="24">
        <v>3</v>
      </c>
      <c r="D140" s="29">
        <v>25920000</v>
      </c>
      <c r="E140" s="29">
        <v>0</v>
      </c>
      <c r="F140" s="29">
        <v>0</v>
      </c>
      <c r="G140" s="30"/>
    </row>
    <row r="141" spans="1:7" x14ac:dyDescent="0.65">
      <c r="A141" s="26">
        <v>5952</v>
      </c>
      <c r="B141" s="27" t="s">
        <v>215</v>
      </c>
      <c r="C141" s="27">
        <v>3</v>
      </c>
      <c r="D141" s="31">
        <v>0</v>
      </c>
      <c r="E141" s="31">
        <v>0</v>
      </c>
      <c r="F141" s="31">
        <v>0</v>
      </c>
      <c r="G141" s="32"/>
    </row>
    <row r="142" spans="1:7" x14ac:dyDescent="0.65">
      <c r="A142" s="23">
        <v>5956</v>
      </c>
      <c r="B142" s="24" t="s">
        <v>216</v>
      </c>
      <c r="C142" s="24">
        <v>3</v>
      </c>
      <c r="D142" s="29">
        <v>0</v>
      </c>
      <c r="E142" s="29">
        <v>0</v>
      </c>
      <c r="F142" s="29">
        <v>0</v>
      </c>
      <c r="G142" s="30"/>
    </row>
    <row r="143" spans="1:7" x14ac:dyDescent="0.65">
      <c r="A143" s="26">
        <v>5957</v>
      </c>
      <c r="B143" s="27" t="s">
        <v>142</v>
      </c>
      <c r="C143" s="27">
        <v>3</v>
      </c>
      <c r="D143" s="31">
        <v>6480000</v>
      </c>
      <c r="E143" s="31">
        <v>20000000</v>
      </c>
      <c r="F143" s="31">
        <v>0</v>
      </c>
      <c r="G143" s="32"/>
    </row>
    <row r="144" spans="1:7" x14ac:dyDescent="0.65">
      <c r="A144" s="23">
        <v>5958</v>
      </c>
      <c r="B144" s="24" t="s">
        <v>143</v>
      </c>
      <c r="C144" s="24">
        <v>3</v>
      </c>
      <c r="D144" s="29">
        <v>0</v>
      </c>
      <c r="E144" s="29">
        <v>0</v>
      </c>
      <c r="F144" s="29">
        <v>0</v>
      </c>
      <c r="G144" s="30"/>
    </row>
    <row r="145" spans="1:7" x14ac:dyDescent="0.65">
      <c r="A145" s="26">
        <v>5960</v>
      </c>
      <c r="B145" s="27" t="s">
        <v>144</v>
      </c>
      <c r="C145" s="27">
        <v>3</v>
      </c>
      <c r="D145" s="31">
        <v>25920000</v>
      </c>
      <c r="E145" s="31">
        <v>50000000</v>
      </c>
      <c r="F145" s="31">
        <v>0</v>
      </c>
      <c r="G145" s="32"/>
    </row>
    <row r="146" spans="1:7" x14ac:dyDescent="0.65">
      <c r="A146" s="23">
        <v>5961</v>
      </c>
      <c r="B146" s="24" t="s">
        <v>145</v>
      </c>
      <c r="C146" s="24">
        <v>3</v>
      </c>
      <c r="D146" s="29">
        <v>25920000</v>
      </c>
      <c r="E146" s="29">
        <v>0</v>
      </c>
      <c r="F146" s="29">
        <v>0</v>
      </c>
      <c r="G146" s="30"/>
    </row>
    <row r="147" spans="1:7" x14ac:dyDescent="0.65">
      <c r="A147" s="26">
        <v>5962</v>
      </c>
      <c r="B147" s="27" t="s">
        <v>146</v>
      </c>
      <c r="C147" s="27">
        <v>3</v>
      </c>
      <c r="D147" s="31">
        <v>12960000</v>
      </c>
      <c r="E147" s="31">
        <v>0</v>
      </c>
      <c r="F147" s="31">
        <v>0</v>
      </c>
      <c r="G147" s="32"/>
    </row>
    <row r="148" spans="1:7" x14ac:dyDescent="0.65">
      <c r="A148" s="23">
        <v>5963</v>
      </c>
      <c r="B148" s="24" t="s">
        <v>217</v>
      </c>
      <c r="C148" s="24">
        <v>3</v>
      </c>
      <c r="D148" s="29">
        <v>0</v>
      </c>
      <c r="E148" s="29">
        <v>40000000</v>
      </c>
      <c r="F148" s="29">
        <v>0</v>
      </c>
      <c r="G148" s="30"/>
    </row>
    <row r="149" spans="1:7" x14ac:dyDescent="0.65">
      <c r="A149" s="26">
        <v>5966</v>
      </c>
      <c r="B149" s="27" t="s">
        <v>147</v>
      </c>
      <c r="C149" s="27">
        <v>3</v>
      </c>
      <c r="D149" s="31">
        <v>12960000</v>
      </c>
      <c r="E149" s="31">
        <v>0</v>
      </c>
      <c r="F149" s="31">
        <v>0</v>
      </c>
      <c r="G149" s="32"/>
    </row>
    <row r="150" spans="1:7" x14ac:dyDescent="0.65">
      <c r="A150" s="23">
        <v>5967</v>
      </c>
      <c r="B150" s="24" t="s">
        <v>148</v>
      </c>
      <c r="C150" s="24">
        <v>3</v>
      </c>
      <c r="D150" s="29">
        <v>0</v>
      </c>
      <c r="E150" s="29">
        <v>0</v>
      </c>
      <c r="F150" s="29">
        <v>0</v>
      </c>
      <c r="G150" s="30"/>
    </row>
    <row r="151" spans="1:7" x14ac:dyDescent="0.65">
      <c r="A151" s="26">
        <v>5968</v>
      </c>
      <c r="B151" s="27" t="s">
        <v>149</v>
      </c>
      <c r="C151" s="27">
        <v>3</v>
      </c>
      <c r="D151" s="31">
        <v>19440000</v>
      </c>
      <c r="E151" s="31">
        <v>0</v>
      </c>
      <c r="F151" s="31">
        <v>0</v>
      </c>
      <c r="G151" s="32"/>
    </row>
    <row r="152" spans="1:7" x14ac:dyDescent="0.65">
      <c r="A152" s="23">
        <v>5970</v>
      </c>
      <c r="B152" s="24" t="s">
        <v>218</v>
      </c>
      <c r="C152" s="24">
        <v>3</v>
      </c>
      <c r="D152" s="29">
        <v>0</v>
      </c>
      <c r="E152" s="29">
        <v>0</v>
      </c>
      <c r="F152" s="29">
        <v>0</v>
      </c>
      <c r="G152" s="30"/>
    </row>
    <row r="153" spans="1:7" x14ac:dyDescent="0.65">
      <c r="A153" s="26">
        <v>5971</v>
      </c>
      <c r="B153" s="27" t="s">
        <v>219</v>
      </c>
      <c r="C153" s="27">
        <v>3</v>
      </c>
      <c r="D153" s="31">
        <v>0</v>
      </c>
      <c r="E153" s="31">
        <v>0</v>
      </c>
      <c r="F153" s="31">
        <v>0</v>
      </c>
      <c r="G153" s="32"/>
    </row>
    <row r="154" spans="1:7" x14ac:dyDescent="0.65">
      <c r="A154" s="23">
        <v>5973</v>
      </c>
      <c r="B154" s="24" t="s">
        <v>220</v>
      </c>
      <c r="C154" s="24">
        <v>3</v>
      </c>
      <c r="D154" s="29">
        <v>0</v>
      </c>
      <c r="E154" s="29">
        <v>0</v>
      </c>
      <c r="F154" s="29">
        <v>0</v>
      </c>
      <c r="G154" s="30"/>
    </row>
    <row r="155" spans="1:7" x14ac:dyDescent="0.65">
      <c r="A155" s="26">
        <v>5976</v>
      </c>
      <c r="B155" s="27" t="s">
        <v>150</v>
      </c>
      <c r="C155" s="27">
        <v>3</v>
      </c>
      <c r="D155" s="31">
        <v>19440000</v>
      </c>
      <c r="E155" s="31">
        <v>0</v>
      </c>
      <c r="F155" s="31">
        <v>0</v>
      </c>
      <c r="G155" s="32"/>
    </row>
    <row r="156" spans="1:7" x14ac:dyDescent="0.65">
      <c r="A156" s="23">
        <v>5977</v>
      </c>
      <c r="B156" s="24" t="s">
        <v>221</v>
      </c>
      <c r="C156" s="24">
        <v>3</v>
      </c>
      <c r="D156" s="29">
        <v>0</v>
      </c>
      <c r="E156" s="29">
        <v>0</v>
      </c>
      <c r="F156" s="29">
        <v>0</v>
      </c>
      <c r="G156" s="30"/>
    </row>
    <row r="157" spans="1:7" x14ac:dyDescent="0.65">
      <c r="A157" s="26">
        <v>5981</v>
      </c>
      <c r="B157" s="27" t="s">
        <v>222</v>
      </c>
      <c r="C157" s="27">
        <v>3</v>
      </c>
      <c r="D157" s="31">
        <v>0</v>
      </c>
      <c r="E157" s="31">
        <v>40000000</v>
      </c>
      <c r="F157" s="31">
        <v>0</v>
      </c>
      <c r="G157" s="32"/>
    </row>
    <row r="158" spans="1:7" x14ac:dyDescent="0.65">
      <c r="A158" s="23">
        <v>5982</v>
      </c>
      <c r="B158" s="24" t="s">
        <v>151</v>
      </c>
      <c r="C158" s="24">
        <v>3</v>
      </c>
      <c r="D158" s="29">
        <v>0</v>
      </c>
      <c r="E158" s="29">
        <v>0</v>
      </c>
      <c r="F158" s="29">
        <v>0</v>
      </c>
      <c r="G158" s="30"/>
    </row>
    <row r="159" spans="1:7" x14ac:dyDescent="0.65">
      <c r="A159" s="26">
        <v>5984</v>
      </c>
      <c r="B159" s="27" t="s">
        <v>223</v>
      </c>
      <c r="C159" s="27">
        <v>3</v>
      </c>
      <c r="D159" s="31">
        <v>0</v>
      </c>
      <c r="E159" s="31">
        <v>0</v>
      </c>
      <c r="F159" s="31">
        <v>0</v>
      </c>
      <c r="G159" s="32"/>
    </row>
    <row r="160" spans="1:7" x14ac:dyDescent="0.65">
      <c r="A160" s="23">
        <v>5987</v>
      </c>
      <c r="B160" s="24" t="s">
        <v>224</v>
      </c>
      <c r="C160" s="24">
        <v>3</v>
      </c>
      <c r="D160" s="29">
        <v>0</v>
      </c>
      <c r="E160" s="29">
        <v>0</v>
      </c>
      <c r="F160" s="29">
        <v>0</v>
      </c>
      <c r="G160" s="30"/>
    </row>
    <row r="161" spans="1:7" x14ac:dyDescent="0.65">
      <c r="A161" s="26">
        <v>5988</v>
      </c>
      <c r="B161" s="27" t="s">
        <v>152</v>
      </c>
      <c r="C161" s="27">
        <v>3</v>
      </c>
      <c r="D161" s="31">
        <v>32400000</v>
      </c>
      <c r="E161" s="31">
        <v>40000000</v>
      </c>
      <c r="F161" s="31">
        <v>0</v>
      </c>
      <c r="G161" s="32"/>
    </row>
    <row r="162" spans="1:7" x14ac:dyDescent="0.65">
      <c r="A162" s="23">
        <v>5991</v>
      </c>
      <c r="B162" s="24" t="s">
        <v>153</v>
      </c>
      <c r="C162" s="24">
        <v>3</v>
      </c>
      <c r="D162" s="29">
        <v>19440000</v>
      </c>
      <c r="E162" s="29">
        <v>40000000</v>
      </c>
      <c r="F162" s="29">
        <v>0</v>
      </c>
      <c r="G162" s="30"/>
    </row>
    <row r="163" spans="1:7" x14ac:dyDescent="0.65">
      <c r="A163" s="26">
        <v>5992</v>
      </c>
      <c r="B163" s="27" t="s">
        <v>154</v>
      </c>
      <c r="C163" s="27">
        <v>3</v>
      </c>
      <c r="D163" s="31">
        <v>19440000</v>
      </c>
      <c r="E163" s="31">
        <v>0</v>
      </c>
      <c r="F163" s="31">
        <v>0</v>
      </c>
      <c r="G163" s="32"/>
    </row>
    <row r="164" spans="1:7" x14ac:dyDescent="0.65">
      <c r="A164" s="23">
        <v>5995</v>
      </c>
      <c r="B164" s="24" t="s">
        <v>155</v>
      </c>
      <c r="C164" s="24">
        <v>3</v>
      </c>
      <c r="D164" s="29">
        <v>6480000</v>
      </c>
      <c r="E164" s="29">
        <v>0</v>
      </c>
      <c r="F164" s="29">
        <v>0</v>
      </c>
      <c r="G164" s="30"/>
    </row>
    <row r="165" spans="1:7" x14ac:dyDescent="0.65">
      <c r="A165" s="26">
        <v>5996</v>
      </c>
      <c r="B165" s="27" t="s">
        <v>225</v>
      </c>
      <c r="C165" s="27">
        <v>3</v>
      </c>
      <c r="D165" s="31">
        <v>0</v>
      </c>
      <c r="E165" s="31">
        <v>0</v>
      </c>
      <c r="F165" s="31">
        <v>0</v>
      </c>
      <c r="G165" s="32"/>
    </row>
    <row r="166" spans="1:7" x14ac:dyDescent="0.65">
      <c r="A166" s="23">
        <v>5997</v>
      </c>
      <c r="B166" s="24" t="s">
        <v>156</v>
      </c>
      <c r="C166" s="24">
        <v>3</v>
      </c>
      <c r="D166" s="29">
        <v>0</v>
      </c>
      <c r="E166" s="29">
        <v>0</v>
      </c>
      <c r="F166" s="29">
        <v>0</v>
      </c>
      <c r="G166" s="30"/>
    </row>
    <row r="167" spans="1:7" x14ac:dyDescent="0.65">
      <c r="A167" s="26">
        <v>5998</v>
      </c>
      <c r="B167" s="27" t="s">
        <v>226</v>
      </c>
      <c r="C167" s="27">
        <v>3</v>
      </c>
      <c r="D167" s="31">
        <v>0</v>
      </c>
      <c r="E167" s="31">
        <v>0</v>
      </c>
      <c r="F167" s="31">
        <v>0</v>
      </c>
      <c r="G167" s="32"/>
    </row>
    <row r="168" spans="1:7" x14ac:dyDescent="0.65">
      <c r="A168" s="23">
        <v>6000</v>
      </c>
      <c r="B168" s="24" t="s">
        <v>157</v>
      </c>
      <c r="C168" s="24">
        <v>3</v>
      </c>
      <c r="D168" s="29">
        <v>0</v>
      </c>
      <c r="E168" s="29">
        <v>0</v>
      </c>
      <c r="F168" s="29">
        <v>0</v>
      </c>
      <c r="G168" s="30"/>
    </row>
    <row r="169" spans="1:7" x14ac:dyDescent="0.65">
      <c r="A169" s="26">
        <v>6001</v>
      </c>
      <c r="B169" s="27" t="s">
        <v>227</v>
      </c>
      <c r="C169" s="27">
        <v>3</v>
      </c>
      <c r="D169" s="31">
        <v>0</v>
      </c>
      <c r="E169" s="31">
        <v>0</v>
      </c>
      <c r="F169" s="31">
        <v>0</v>
      </c>
      <c r="G169" s="32"/>
    </row>
    <row r="170" spans="1:7" x14ac:dyDescent="0.65">
      <c r="A170" s="23">
        <v>6004</v>
      </c>
      <c r="B170" s="24" t="s">
        <v>158</v>
      </c>
      <c r="C170" s="24">
        <v>3</v>
      </c>
      <c r="D170" s="29">
        <v>25920000</v>
      </c>
      <c r="E170" s="29">
        <v>0</v>
      </c>
      <c r="F170" s="29">
        <v>0</v>
      </c>
      <c r="G170" s="30"/>
    </row>
    <row r="171" spans="1:7" x14ac:dyDescent="0.65">
      <c r="A171" s="26">
        <v>6005</v>
      </c>
      <c r="B171" s="27" t="s">
        <v>228</v>
      </c>
      <c r="C171" s="27">
        <v>3</v>
      </c>
      <c r="D171" s="31">
        <v>0</v>
      </c>
      <c r="E171" s="31">
        <v>999999999</v>
      </c>
      <c r="F171" s="31">
        <v>0</v>
      </c>
      <c r="G171" s="32"/>
    </row>
    <row r="172" spans="1:7" x14ac:dyDescent="0.65">
      <c r="A172" s="23">
        <v>6006</v>
      </c>
      <c r="B172" s="24" t="s">
        <v>159</v>
      </c>
      <c r="C172" s="24">
        <v>3</v>
      </c>
      <c r="D172" s="29">
        <v>6480000</v>
      </c>
      <c r="E172" s="29">
        <v>0</v>
      </c>
      <c r="F172" s="29">
        <v>0</v>
      </c>
      <c r="G172" s="30"/>
    </row>
    <row r="173" spans="1:7" x14ac:dyDescent="0.65">
      <c r="A173" s="26">
        <v>6011</v>
      </c>
      <c r="B173" s="27" t="s">
        <v>160</v>
      </c>
      <c r="C173" s="27">
        <v>3</v>
      </c>
      <c r="D173" s="31">
        <v>0</v>
      </c>
      <c r="E173" s="31">
        <v>0</v>
      </c>
      <c r="F173" s="31">
        <v>0</v>
      </c>
      <c r="G173" s="32"/>
    </row>
    <row r="174" spans="1:7" x14ac:dyDescent="0.65">
      <c r="A174" s="23">
        <v>6012</v>
      </c>
      <c r="B174" s="24" t="s">
        <v>161</v>
      </c>
      <c r="C174" s="24">
        <v>3</v>
      </c>
      <c r="D174" s="29">
        <v>0</v>
      </c>
      <c r="E174" s="29">
        <v>0</v>
      </c>
      <c r="F174" s="29">
        <v>0</v>
      </c>
      <c r="G174" s="30"/>
    </row>
    <row r="175" spans="1:7" x14ac:dyDescent="0.65">
      <c r="A175" s="26">
        <v>6015</v>
      </c>
      <c r="B175" s="27" t="s">
        <v>162</v>
      </c>
      <c r="C175" s="27">
        <v>3</v>
      </c>
      <c r="D175" s="31">
        <v>0</v>
      </c>
      <c r="E175" s="31">
        <v>0</v>
      </c>
      <c r="F175" s="31">
        <v>0</v>
      </c>
      <c r="G175" s="32"/>
    </row>
    <row r="176" spans="1:7" x14ac:dyDescent="0.65">
      <c r="A176" s="23">
        <v>6016</v>
      </c>
      <c r="B176" s="24" t="s">
        <v>163</v>
      </c>
      <c r="C176" s="24">
        <v>3</v>
      </c>
      <c r="D176" s="29">
        <v>0</v>
      </c>
      <c r="E176" s="29">
        <v>0</v>
      </c>
      <c r="F176" s="29">
        <v>0</v>
      </c>
      <c r="G176" s="30"/>
    </row>
    <row r="177" spans="1:7" x14ac:dyDescent="0.65">
      <c r="A177" s="26">
        <v>6017</v>
      </c>
      <c r="B177" s="27" t="s">
        <v>164</v>
      </c>
      <c r="C177" s="27">
        <v>3</v>
      </c>
      <c r="D177" s="31">
        <v>0</v>
      </c>
      <c r="E177" s="31">
        <v>0</v>
      </c>
      <c r="F177" s="31">
        <v>0</v>
      </c>
      <c r="G177" s="32"/>
    </row>
    <row r="178" spans="1:7" x14ac:dyDescent="0.65">
      <c r="A178" s="23">
        <v>6018</v>
      </c>
      <c r="B178" s="24" t="s">
        <v>165</v>
      </c>
      <c r="C178" s="24">
        <v>3</v>
      </c>
      <c r="D178" s="29">
        <v>19440000</v>
      </c>
      <c r="E178" s="29">
        <v>30000000</v>
      </c>
      <c r="F178" s="29">
        <v>0</v>
      </c>
      <c r="G178" s="30"/>
    </row>
    <row r="179" spans="1:7" x14ac:dyDescent="0.65">
      <c r="A179" s="26">
        <v>6019</v>
      </c>
      <c r="B179" s="27" t="s">
        <v>166</v>
      </c>
      <c r="C179" s="27">
        <v>3</v>
      </c>
      <c r="D179" s="31">
        <v>0</v>
      </c>
      <c r="E179" s="31">
        <v>0</v>
      </c>
      <c r="F179" s="31">
        <v>0</v>
      </c>
      <c r="G179" s="32"/>
    </row>
    <row r="180" spans="1:7" x14ac:dyDescent="0.65">
      <c r="A180" s="23">
        <v>6020</v>
      </c>
      <c r="B180" s="24" t="s">
        <v>167</v>
      </c>
      <c r="C180" s="24">
        <v>3</v>
      </c>
      <c r="D180" s="29">
        <v>0</v>
      </c>
      <c r="E180" s="29">
        <v>0</v>
      </c>
      <c r="F180" s="29">
        <v>13783502</v>
      </c>
      <c r="G180" s="30"/>
    </row>
    <row r="181" spans="1:7" x14ac:dyDescent="0.65">
      <c r="A181" s="26">
        <v>6022</v>
      </c>
      <c r="B181" s="27" t="s">
        <v>168</v>
      </c>
      <c r="C181" s="27">
        <v>3</v>
      </c>
      <c r="D181" s="31">
        <v>0</v>
      </c>
      <c r="E181" s="31">
        <v>0</v>
      </c>
      <c r="F181" s="31">
        <v>0</v>
      </c>
      <c r="G181" s="32"/>
    </row>
    <row r="182" spans="1:7" x14ac:dyDescent="0.65">
      <c r="A182" s="23">
        <v>6025</v>
      </c>
      <c r="B182" s="24" t="s">
        <v>169</v>
      </c>
      <c r="C182" s="24">
        <v>3</v>
      </c>
      <c r="D182" s="29">
        <v>0</v>
      </c>
      <c r="E182" s="29">
        <v>25000000</v>
      </c>
      <c r="F182" s="29">
        <v>0</v>
      </c>
      <c r="G182" s="30"/>
    </row>
    <row r="183" spans="1:7" x14ac:dyDescent="0.65">
      <c r="A183" s="26">
        <v>6026</v>
      </c>
      <c r="B183" s="27" t="s">
        <v>170</v>
      </c>
      <c r="C183" s="27">
        <v>3</v>
      </c>
      <c r="D183" s="31">
        <v>6480000</v>
      </c>
      <c r="E183" s="31">
        <v>40000000</v>
      </c>
      <c r="F183" s="31">
        <v>0</v>
      </c>
      <c r="G183" s="32"/>
    </row>
    <row r="184" spans="1:7" x14ac:dyDescent="0.65">
      <c r="A184" s="23">
        <v>6028</v>
      </c>
      <c r="B184" s="24" t="s">
        <v>171</v>
      </c>
      <c r="C184" s="24">
        <v>3</v>
      </c>
      <c r="D184" s="29">
        <v>12960000</v>
      </c>
      <c r="E184" s="29">
        <v>0</v>
      </c>
      <c r="F184" s="29">
        <v>0</v>
      </c>
      <c r="G184" s="30"/>
    </row>
    <row r="185" spans="1:7" x14ac:dyDescent="0.65">
      <c r="A185" s="26">
        <v>6030</v>
      </c>
      <c r="B185" s="27" t="s">
        <v>229</v>
      </c>
      <c r="C185" s="27">
        <v>3</v>
      </c>
      <c r="D185" s="31">
        <v>0</v>
      </c>
      <c r="E185" s="31">
        <v>0</v>
      </c>
      <c r="F185" s="31">
        <v>0</v>
      </c>
      <c r="G185" s="32"/>
    </row>
    <row r="186" spans="1:7" x14ac:dyDescent="0.65">
      <c r="A186" s="23">
        <v>6031</v>
      </c>
      <c r="B186" s="24" t="s">
        <v>172</v>
      </c>
      <c r="C186" s="24">
        <v>3</v>
      </c>
      <c r="D186" s="29">
        <v>0</v>
      </c>
      <c r="E186" s="29">
        <v>0</v>
      </c>
      <c r="F186" s="29">
        <v>0</v>
      </c>
      <c r="G186" s="30"/>
    </row>
    <row r="187" spans="1:7" x14ac:dyDescent="0.65">
      <c r="A187" s="26">
        <v>6035</v>
      </c>
      <c r="B187" s="27" t="s">
        <v>173</v>
      </c>
      <c r="C187" s="27">
        <v>3</v>
      </c>
      <c r="D187" s="31">
        <v>0</v>
      </c>
      <c r="E187" s="31">
        <v>0</v>
      </c>
      <c r="F187" s="31">
        <v>0</v>
      </c>
      <c r="G187" s="32"/>
    </row>
    <row r="188" spans="1:7" x14ac:dyDescent="0.65">
      <c r="A188" s="23">
        <v>6037</v>
      </c>
      <c r="B188" s="24" t="s">
        <v>174</v>
      </c>
      <c r="C188" s="24">
        <v>3</v>
      </c>
      <c r="D188" s="29">
        <v>25920000</v>
      </c>
      <c r="E188" s="29">
        <v>0</v>
      </c>
      <c r="F188" s="29">
        <v>0</v>
      </c>
      <c r="G188" s="30"/>
    </row>
    <row r="189" spans="1:7" x14ac:dyDescent="0.65">
      <c r="A189" s="26">
        <v>6039</v>
      </c>
      <c r="B189" s="27" t="s">
        <v>230</v>
      </c>
      <c r="C189" s="27">
        <v>3</v>
      </c>
      <c r="D189" s="31">
        <v>0</v>
      </c>
      <c r="E189" s="31">
        <v>0</v>
      </c>
      <c r="F189" s="31">
        <v>0</v>
      </c>
      <c r="G189" s="32"/>
    </row>
    <row r="190" spans="1:7" x14ac:dyDescent="0.65">
      <c r="A190" s="23">
        <v>6041</v>
      </c>
      <c r="B190" s="24" t="s">
        <v>175</v>
      </c>
      <c r="C190" s="24">
        <v>3</v>
      </c>
      <c r="D190" s="29">
        <v>25920000</v>
      </c>
      <c r="E190" s="29">
        <v>0</v>
      </c>
      <c r="F190" s="29">
        <v>0</v>
      </c>
      <c r="G190" s="30"/>
    </row>
    <row r="191" spans="1:7" x14ac:dyDescent="0.65">
      <c r="A191" s="26">
        <v>6042</v>
      </c>
      <c r="B191" s="27" t="s">
        <v>176</v>
      </c>
      <c r="C191" s="27">
        <v>3</v>
      </c>
      <c r="D191" s="31">
        <v>6480000</v>
      </c>
      <c r="E191" s="31">
        <v>0</v>
      </c>
      <c r="F191" s="31">
        <v>0</v>
      </c>
      <c r="G191" s="32"/>
    </row>
    <row r="192" spans="1:7" x14ac:dyDescent="0.65">
      <c r="A192" s="23">
        <v>6044</v>
      </c>
      <c r="B192" s="24" t="s">
        <v>177</v>
      </c>
      <c r="C192" s="24">
        <v>3</v>
      </c>
      <c r="D192" s="29">
        <v>0</v>
      </c>
      <c r="E192" s="29">
        <v>0</v>
      </c>
      <c r="F192" s="29">
        <v>0</v>
      </c>
      <c r="G192" s="30"/>
    </row>
    <row r="193" spans="1:7" x14ac:dyDescent="0.65">
      <c r="A193" s="26">
        <v>6045</v>
      </c>
      <c r="B193" s="27" t="s">
        <v>178</v>
      </c>
      <c r="C193" s="27">
        <v>3</v>
      </c>
      <c r="D193" s="31">
        <v>12960000</v>
      </c>
      <c r="E193" s="31">
        <v>0</v>
      </c>
      <c r="F193" s="31">
        <v>0</v>
      </c>
      <c r="G193" s="32"/>
    </row>
    <row r="194" spans="1:7" x14ac:dyDescent="0.65">
      <c r="A194" s="23">
        <v>6046</v>
      </c>
      <c r="B194" s="24" t="s">
        <v>179</v>
      </c>
      <c r="C194" s="24">
        <v>3</v>
      </c>
      <c r="D194" s="29">
        <v>0</v>
      </c>
      <c r="E194" s="29">
        <v>40000000</v>
      </c>
      <c r="F194" s="29">
        <v>0</v>
      </c>
      <c r="G194" s="30"/>
    </row>
    <row r="195" spans="1:7" x14ac:dyDescent="0.65">
      <c r="A195" s="26">
        <v>6054</v>
      </c>
      <c r="B195" s="27" t="s">
        <v>231</v>
      </c>
      <c r="C195" s="27">
        <v>3</v>
      </c>
      <c r="D195" s="31">
        <v>0</v>
      </c>
      <c r="E195" s="31">
        <v>0</v>
      </c>
      <c r="F195" s="31">
        <v>0</v>
      </c>
      <c r="G195" s="32"/>
    </row>
    <row r="196" spans="1:7" x14ac:dyDescent="0.65">
      <c r="A196" s="23">
        <v>6055</v>
      </c>
      <c r="B196" s="24" t="s">
        <v>180</v>
      </c>
      <c r="C196" s="24">
        <v>3</v>
      </c>
      <c r="D196" s="29">
        <v>6480000</v>
      </c>
      <c r="E196" s="29">
        <v>0</v>
      </c>
      <c r="F196" s="29">
        <v>0</v>
      </c>
      <c r="G196" s="30"/>
    </row>
    <row r="197" spans="1:7" x14ac:dyDescent="0.65">
      <c r="A197" s="26">
        <v>6057</v>
      </c>
      <c r="B197" s="27" t="s">
        <v>181</v>
      </c>
      <c r="C197" s="27">
        <v>3</v>
      </c>
      <c r="D197" s="31">
        <v>0</v>
      </c>
      <c r="E197" s="31">
        <v>20000000</v>
      </c>
      <c r="F197" s="31">
        <v>0</v>
      </c>
      <c r="G197" s="32"/>
    </row>
    <row r="198" spans="1:7" x14ac:dyDescent="0.65">
      <c r="A198" s="23">
        <v>6059</v>
      </c>
      <c r="B198" s="24" t="s">
        <v>182</v>
      </c>
      <c r="C198" s="24">
        <v>3</v>
      </c>
      <c r="D198" s="29">
        <v>0</v>
      </c>
      <c r="E198" s="29">
        <v>0</v>
      </c>
      <c r="F198" s="29">
        <v>25400739</v>
      </c>
      <c r="G198" s="30"/>
    </row>
    <row r="199" spans="1:7" x14ac:dyDescent="0.65">
      <c r="A199" s="26">
        <v>6061</v>
      </c>
      <c r="B199" s="27" t="s">
        <v>183</v>
      </c>
      <c r="C199" s="27">
        <v>3</v>
      </c>
      <c r="D199" s="31">
        <v>0</v>
      </c>
      <c r="E199" s="31">
        <v>0</v>
      </c>
      <c r="F199" s="31">
        <v>0</v>
      </c>
      <c r="G199" s="32"/>
    </row>
    <row r="200" spans="1:7" x14ac:dyDescent="0.65">
      <c r="A200" s="23">
        <v>6063</v>
      </c>
      <c r="B200" s="24" t="s">
        <v>232</v>
      </c>
      <c r="C200" s="24">
        <v>3</v>
      </c>
      <c r="D200" s="29">
        <v>0</v>
      </c>
      <c r="E200" s="29">
        <v>0</v>
      </c>
      <c r="F200" s="29">
        <v>0</v>
      </c>
      <c r="G200" s="30"/>
    </row>
    <row r="201" spans="1:7" x14ac:dyDescent="0.65">
      <c r="A201" s="26">
        <v>6064</v>
      </c>
      <c r="B201" s="27" t="s">
        <v>184</v>
      </c>
      <c r="C201" s="27">
        <v>3</v>
      </c>
      <c r="D201" s="31">
        <v>12960000</v>
      </c>
      <c r="E201" s="31">
        <v>0</v>
      </c>
      <c r="F201" s="31">
        <v>0</v>
      </c>
      <c r="G201" s="32"/>
    </row>
    <row r="202" spans="1:7" x14ac:dyDescent="0.65">
      <c r="A202" s="23">
        <v>6069</v>
      </c>
      <c r="B202" s="24" t="s">
        <v>185</v>
      </c>
      <c r="C202" s="24">
        <v>3</v>
      </c>
      <c r="D202" s="29">
        <v>12960000</v>
      </c>
      <c r="E202" s="29">
        <v>0</v>
      </c>
      <c r="F202" s="29">
        <v>0</v>
      </c>
      <c r="G202" s="30"/>
    </row>
    <row r="203" spans="1:7" x14ac:dyDescent="0.65">
      <c r="A203" s="26">
        <v>6072</v>
      </c>
      <c r="B203" s="27" t="s">
        <v>186</v>
      </c>
      <c r="C203" s="27">
        <v>3</v>
      </c>
      <c r="D203" s="31">
        <v>0</v>
      </c>
      <c r="E203" s="31">
        <v>0</v>
      </c>
      <c r="F203" s="31">
        <v>0</v>
      </c>
      <c r="G203" s="32"/>
    </row>
    <row r="204" spans="1:7" x14ac:dyDescent="0.65">
      <c r="A204" s="23">
        <v>6075</v>
      </c>
      <c r="B204" s="24" t="s">
        <v>187</v>
      </c>
      <c r="C204" s="24">
        <v>3</v>
      </c>
      <c r="D204" s="29">
        <v>0</v>
      </c>
      <c r="E204" s="29">
        <v>0</v>
      </c>
      <c r="F204" s="29">
        <v>0</v>
      </c>
      <c r="G204" s="30"/>
    </row>
    <row r="205" spans="1:7" x14ac:dyDescent="0.65">
      <c r="A205" s="26">
        <v>6076</v>
      </c>
      <c r="B205" s="27" t="s">
        <v>188</v>
      </c>
      <c r="C205" s="27">
        <v>3</v>
      </c>
      <c r="D205" s="31">
        <v>0</v>
      </c>
      <c r="E205" s="31">
        <v>0</v>
      </c>
      <c r="F205" s="31">
        <v>0</v>
      </c>
      <c r="G205" s="32"/>
    </row>
    <row r="206" spans="1:7" x14ac:dyDescent="0.65">
      <c r="A206" s="23">
        <v>6077</v>
      </c>
      <c r="B206" s="24" t="s">
        <v>233</v>
      </c>
      <c r="C206" s="24">
        <v>3</v>
      </c>
      <c r="D206" s="29">
        <v>0</v>
      </c>
      <c r="E206" s="29">
        <v>0</v>
      </c>
      <c r="F206" s="29">
        <v>0</v>
      </c>
      <c r="G206" s="30"/>
    </row>
    <row r="207" spans="1:7" x14ac:dyDescent="0.65">
      <c r="A207" s="26">
        <v>6079</v>
      </c>
      <c r="B207" s="27" t="s">
        <v>189</v>
      </c>
      <c r="C207" s="27">
        <v>3</v>
      </c>
      <c r="D207" s="31">
        <v>19440000</v>
      </c>
      <c r="E207" s="31">
        <v>0</v>
      </c>
      <c r="F207" s="31">
        <v>0</v>
      </c>
      <c r="G207" s="32"/>
    </row>
    <row r="208" spans="1:7" x14ac:dyDescent="0.65">
      <c r="A208" s="23">
        <v>6081</v>
      </c>
      <c r="B208" s="24" t="s">
        <v>234</v>
      </c>
      <c r="C208" s="24">
        <v>3</v>
      </c>
      <c r="D208" s="29">
        <v>0</v>
      </c>
      <c r="E208" s="29">
        <v>0</v>
      </c>
      <c r="F208" s="29">
        <v>0</v>
      </c>
      <c r="G208" s="30"/>
    </row>
    <row r="209" spans="1:7" x14ac:dyDescent="0.65">
      <c r="A209" s="26">
        <v>6084</v>
      </c>
      <c r="B209" s="27" t="s">
        <v>190</v>
      </c>
      <c r="C209" s="27">
        <v>3</v>
      </c>
      <c r="D209" s="31">
        <v>12960000</v>
      </c>
      <c r="E209" s="31">
        <v>0</v>
      </c>
      <c r="F209" s="31">
        <v>0</v>
      </c>
      <c r="G209" s="32"/>
    </row>
    <row r="210" spans="1:7" x14ac:dyDescent="0.65">
      <c r="A210" s="23">
        <v>6087</v>
      </c>
      <c r="B210" s="24" t="s">
        <v>191</v>
      </c>
      <c r="C210" s="24">
        <v>3</v>
      </c>
      <c r="D210" s="29">
        <v>19440000</v>
      </c>
      <c r="E210" s="29">
        <v>0</v>
      </c>
      <c r="F210" s="29">
        <v>0</v>
      </c>
      <c r="G210" s="30"/>
    </row>
    <row r="211" spans="1:7" x14ac:dyDescent="0.65">
      <c r="A211" s="26">
        <v>6088</v>
      </c>
      <c r="B211" s="27" t="s">
        <v>192</v>
      </c>
      <c r="C211" s="27">
        <v>3</v>
      </c>
      <c r="D211" s="31">
        <v>0</v>
      </c>
      <c r="E211" s="31">
        <v>40000000</v>
      </c>
      <c r="F211" s="31">
        <v>0</v>
      </c>
      <c r="G211" s="32"/>
    </row>
    <row r="212" spans="1:7" x14ac:dyDescent="0.65">
      <c r="A212" s="23">
        <v>6089</v>
      </c>
      <c r="B212" s="24" t="s">
        <v>193</v>
      </c>
      <c r="C212" s="24">
        <v>3</v>
      </c>
      <c r="D212" s="29">
        <v>32400000</v>
      </c>
      <c r="E212" s="29">
        <v>0</v>
      </c>
      <c r="F212" s="29">
        <v>724350</v>
      </c>
      <c r="G212" s="30"/>
    </row>
    <row r="213" spans="1:7" x14ac:dyDescent="0.65">
      <c r="A213" s="26">
        <v>6092</v>
      </c>
      <c r="B213" s="27" t="s">
        <v>194</v>
      </c>
      <c r="C213" s="27">
        <v>3</v>
      </c>
      <c r="D213" s="31">
        <v>6480000</v>
      </c>
      <c r="E213" s="31">
        <v>0</v>
      </c>
      <c r="F213" s="31">
        <v>0</v>
      </c>
      <c r="G213" s="32"/>
    </row>
    <row r="214" spans="1:7" x14ac:dyDescent="0.65">
      <c r="A214" s="23">
        <v>6093</v>
      </c>
      <c r="B214" s="24" t="s">
        <v>195</v>
      </c>
      <c r="C214" s="24">
        <v>3</v>
      </c>
      <c r="D214" s="29">
        <v>25920000</v>
      </c>
      <c r="E214" s="29">
        <v>0</v>
      </c>
      <c r="F214" s="29">
        <v>0</v>
      </c>
      <c r="G214" s="30"/>
    </row>
    <row r="215" spans="1:7" x14ac:dyDescent="0.65">
      <c r="A215" s="26">
        <v>6094</v>
      </c>
      <c r="B215" s="27" t="s">
        <v>196</v>
      </c>
      <c r="C215" s="27">
        <v>3</v>
      </c>
      <c r="D215" s="31">
        <v>0</v>
      </c>
      <c r="E215" s="31">
        <v>0</v>
      </c>
      <c r="F215" s="31">
        <v>0</v>
      </c>
      <c r="G215" s="32"/>
    </row>
    <row r="216" spans="1:7" x14ac:dyDescent="0.65">
      <c r="A216" s="23">
        <v>6095</v>
      </c>
      <c r="B216" s="24" t="s">
        <v>197</v>
      </c>
      <c r="C216" s="24">
        <v>3</v>
      </c>
      <c r="D216" s="29">
        <v>0</v>
      </c>
      <c r="E216" s="29">
        <v>0</v>
      </c>
      <c r="F216" s="29">
        <v>0</v>
      </c>
      <c r="G216" s="30"/>
    </row>
    <row r="217" spans="1:7" x14ac:dyDescent="0.65">
      <c r="A217" s="26">
        <v>6098</v>
      </c>
      <c r="B217" s="27" t="s">
        <v>198</v>
      </c>
      <c r="C217" s="27">
        <v>3</v>
      </c>
      <c r="D217" s="31">
        <v>0</v>
      </c>
      <c r="E217" s="31">
        <v>0</v>
      </c>
      <c r="F217" s="31">
        <v>0</v>
      </c>
      <c r="G217" s="32"/>
    </row>
    <row r="218" spans="1:7" x14ac:dyDescent="0.65">
      <c r="A218" s="23">
        <v>6099</v>
      </c>
      <c r="B218" s="24" t="s">
        <v>199</v>
      </c>
      <c r="C218" s="24">
        <v>3</v>
      </c>
      <c r="D218" s="29">
        <v>0</v>
      </c>
      <c r="E218" s="29">
        <v>0</v>
      </c>
      <c r="F218" s="29">
        <v>0</v>
      </c>
      <c r="G218" s="30"/>
    </row>
    <row r="219" spans="1:7" x14ac:dyDescent="0.65">
      <c r="A219" s="26">
        <v>6100</v>
      </c>
      <c r="B219" s="27" t="s">
        <v>235</v>
      </c>
      <c r="C219" s="27">
        <v>3</v>
      </c>
      <c r="D219" s="31">
        <v>0</v>
      </c>
      <c r="E219" s="31">
        <v>0</v>
      </c>
      <c r="F219" s="31">
        <v>0</v>
      </c>
      <c r="G219" s="32"/>
    </row>
    <row r="220" spans="1:7" x14ac:dyDescent="0.65">
      <c r="A220" s="23">
        <v>6101</v>
      </c>
      <c r="B220" s="24" t="s">
        <v>236</v>
      </c>
      <c r="C220" s="24">
        <v>3</v>
      </c>
      <c r="D220" s="29">
        <v>0</v>
      </c>
      <c r="E220" s="29">
        <v>0</v>
      </c>
      <c r="F220" s="29">
        <v>0</v>
      </c>
      <c r="G220" s="30"/>
    </row>
    <row r="221" spans="1:7" x14ac:dyDescent="0.65">
      <c r="A221" s="26">
        <v>6102</v>
      </c>
      <c r="B221" s="27" t="s">
        <v>200</v>
      </c>
      <c r="C221" s="27">
        <v>3</v>
      </c>
      <c r="D221" s="31">
        <v>0</v>
      </c>
      <c r="E221" s="31">
        <v>0</v>
      </c>
      <c r="F221" s="31">
        <v>0</v>
      </c>
      <c r="G221" s="32"/>
    </row>
    <row r="222" spans="1:7" x14ac:dyDescent="0.65">
      <c r="A222" s="23">
        <v>6104</v>
      </c>
      <c r="B222" s="24" t="s">
        <v>202</v>
      </c>
      <c r="C222" s="24">
        <v>3</v>
      </c>
      <c r="D222" s="29">
        <v>0</v>
      </c>
      <c r="E222" s="29">
        <v>0</v>
      </c>
      <c r="F222" s="29">
        <v>0</v>
      </c>
      <c r="G222" s="30"/>
    </row>
    <row r="223" spans="1:7" x14ac:dyDescent="0.65">
      <c r="A223" s="26">
        <v>6106</v>
      </c>
      <c r="B223" s="27" t="s">
        <v>237</v>
      </c>
      <c r="C223" s="27">
        <v>3</v>
      </c>
      <c r="D223" s="31">
        <v>0</v>
      </c>
      <c r="E223" s="31">
        <v>0</v>
      </c>
      <c r="F223" s="31">
        <v>0</v>
      </c>
      <c r="G223" s="32"/>
    </row>
    <row r="224" spans="1:7" x14ac:dyDescent="0.65">
      <c r="A224" s="23">
        <v>6110</v>
      </c>
      <c r="B224" s="24" t="s">
        <v>203</v>
      </c>
      <c r="C224" s="24">
        <v>3</v>
      </c>
      <c r="D224" s="29">
        <v>0</v>
      </c>
      <c r="E224" s="29">
        <v>0</v>
      </c>
      <c r="F224" s="29">
        <v>0</v>
      </c>
      <c r="G224" s="30"/>
    </row>
    <row r="225" spans="1:7" x14ac:dyDescent="0.65">
      <c r="A225" s="26">
        <v>6111</v>
      </c>
      <c r="B225" s="27" t="s">
        <v>238</v>
      </c>
      <c r="C225" s="27">
        <v>3</v>
      </c>
      <c r="D225" s="31">
        <v>0</v>
      </c>
      <c r="E225" s="31">
        <v>0</v>
      </c>
      <c r="F225" s="31">
        <v>0</v>
      </c>
      <c r="G225" s="32"/>
    </row>
    <row r="226" spans="1:7" x14ac:dyDescent="0.65">
      <c r="A226" s="23">
        <v>6112</v>
      </c>
      <c r="B226" s="24" t="s">
        <v>239</v>
      </c>
      <c r="C226" s="24">
        <v>3</v>
      </c>
      <c r="D226" s="29">
        <v>0</v>
      </c>
      <c r="E226" s="29">
        <v>0</v>
      </c>
      <c r="F226" s="29">
        <v>0</v>
      </c>
      <c r="G226" s="30"/>
    </row>
    <row r="227" spans="1:7" x14ac:dyDescent="0.65">
      <c r="A227" s="26">
        <v>6113</v>
      </c>
      <c r="B227" s="27" t="s">
        <v>240</v>
      </c>
      <c r="C227" s="27">
        <v>3</v>
      </c>
      <c r="D227" s="31">
        <v>0</v>
      </c>
      <c r="E227" s="31">
        <v>0</v>
      </c>
      <c r="F227" s="31">
        <v>0</v>
      </c>
      <c r="G227" s="32"/>
    </row>
    <row r="228" spans="1:7" x14ac:dyDescent="0.65">
      <c r="A228" s="23">
        <v>6114</v>
      </c>
      <c r="B228" s="24" t="s">
        <v>241</v>
      </c>
      <c r="C228" s="24">
        <v>3</v>
      </c>
      <c r="D228" s="29">
        <v>0</v>
      </c>
      <c r="E228" s="29">
        <v>0</v>
      </c>
      <c r="F228" s="29">
        <v>0</v>
      </c>
      <c r="G228" s="30"/>
    </row>
    <row r="229" spans="1:7" x14ac:dyDescent="0.65">
      <c r="A229" s="26">
        <v>6116</v>
      </c>
      <c r="B229" s="27" t="s">
        <v>242</v>
      </c>
      <c r="C229" s="27">
        <v>3</v>
      </c>
      <c r="D229" s="31">
        <v>0</v>
      </c>
      <c r="E229" s="31">
        <v>0</v>
      </c>
      <c r="F229" s="31">
        <v>0</v>
      </c>
      <c r="G229" s="32"/>
    </row>
    <row r="230" spans="1:7" x14ac:dyDescent="0.65">
      <c r="A230" s="23">
        <v>6447</v>
      </c>
      <c r="B230" s="24" t="s">
        <v>204</v>
      </c>
      <c r="C230" s="24">
        <v>3</v>
      </c>
      <c r="D230" s="29">
        <v>19440000</v>
      </c>
      <c r="E230" s="29">
        <v>0</v>
      </c>
      <c r="F230" s="29">
        <v>0</v>
      </c>
      <c r="G230" s="30"/>
    </row>
    <row r="231" spans="1:7" x14ac:dyDescent="0.65">
      <c r="A231" s="26">
        <v>9015</v>
      </c>
      <c r="B231" s="27" t="s">
        <v>205</v>
      </c>
      <c r="C231" s="27">
        <v>3</v>
      </c>
      <c r="D231" s="31">
        <v>6480000</v>
      </c>
      <c r="E231" s="31">
        <v>0</v>
      </c>
      <c r="F231" s="31">
        <v>0</v>
      </c>
      <c r="G231" s="32"/>
    </row>
  </sheetData>
  <autoFilter ref="A1:G231" xr:uid="{C2E89920-EADB-4445-9C2C-87E1CC8DCFC5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BDCC-AE39-4932-BC80-988F0271AF62}">
  <dimension ref="A1:E23"/>
  <sheetViews>
    <sheetView rightToLeft="1" workbookViewId="0">
      <selection sqref="A1:XFD1048576"/>
    </sheetView>
  </sheetViews>
  <sheetFormatPr defaultRowHeight="22.5" x14ac:dyDescent="0.65"/>
  <cols>
    <col min="1" max="1" width="11.75" style="44" bestFit="1" customWidth="1"/>
    <col min="2" max="2" width="20.875" style="44" bestFit="1" customWidth="1"/>
    <col min="3" max="3" width="8.375" style="40" bestFit="1" customWidth="1"/>
    <col min="4" max="4" width="3" style="43" bestFit="1" customWidth="1"/>
    <col min="5" max="5" width="11.125" style="46" customWidth="1"/>
    <col min="6" max="16384" width="9" style="43"/>
  </cols>
  <sheetData>
    <row r="1" spans="1:5" x14ac:dyDescent="0.65">
      <c r="A1" s="24" t="s">
        <v>0</v>
      </c>
      <c r="B1" s="24" t="s">
        <v>1</v>
      </c>
      <c r="C1" s="41" t="s">
        <v>248</v>
      </c>
      <c r="D1" s="42" t="s">
        <v>244</v>
      </c>
      <c r="E1" s="29" t="s">
        <v>263</v>
      </c>
    </row>
    <row r="2" spans="1:5" x14ac:dyDescent="0.65">
      <c r="A2" s="23">
        <v>1905</v>
      </c>
      <c r="B2" s="24" t="s">
        <v>2</v>
      </c>
      <c r="C2" s="45">
        <v>8</v>
      </c>
      <c r="D2" s="42">
        <v>4</v>
      </c>
      <c r="E2" s="29">
        <v>6571530</v>
      </c>
    </row>
    <row r="3" spans="1:5" x14ac:dyDescent="0.65">
      <c r="A3" s="23">
        <v>3653</v>
      </c>
      <c r="B3" s="24" t="s">
        <v>5</v>
      </c>
      <c r="C3" s="45">
        <v>34</v>
      </c>
      <c r="D3" s="42">
        <v>4</v>
      </c>
      <c r="E3" s="29">
        <v>7295067</v>
      </c>
    </row>
    <row r="4" spans="1:5" x14ac:dyDescent="0.65">
      <c r="A4" s="23">
        <v>4636</v>
      </c>
      <c r="B4" s="24" t="s">
        <v>12</v>
      </c>
      <c r="C4" s="45">
        <v>62</v>
      </c>
      <c r="D4" s="42">
        <v>4</v>
      </c>
      <c r="E4" s="29">
        <v>6780150</v>
      </c>
    </row>
    <row r="5" spans="1:5" x14ac:dyDescent="0.65">
      <c r="A5" s="23">
        <v>4660</v>
      </c>
      <c r="B5" s="24" t="s">
        <v>23</v>
      </c>
      <c r="C5" s="45">
        <v>72</v>
      </c>
      <c r="D5" s="42">
        <v>4</v>
      </c>
      <c r="E5" s="29">
        <v>3182723</v>
      </c>
    </row>
    <row r="6" spans="1:5" x14ac:dyDescent="0.65">
      <c r="A6" s="23">
        <v>4661</v>
      </c>
      <c r="B6" s="24" t="s">
        <v>24</v>
      </c>
      <c r="C6" s="45">
        <v>63</v>
      </c>
      <c r="D6" s="42">
        <v>4</v>
      </c>
      <c r="E6" s="29">
        <v>3347699</v>
      </c>
    </row>
    <row r="7" spans="1:5" x14ac:dyDescent="0.65">
      <c r="A7" s="23">
        <v>4665</v>
      </c>
      <c r="B7" s="24" t="s">
        <v>27</v>
      </c>
      <c r="C7" s="45">
        <v>64</v>
      </c>
      <c r="D7" s="42">
        <v>4</v>
      </c>
      <c r="E7" s="29">
        <v>2754341</v>
      </c>
    </row>
    <row r="8" spans="1:5" x14ac:dyDescent="0.65">
      <c r="A8" s="23">
        <v>4669</v>
      </c>
      <c r="B8" s="24" t="s">
        <v>31</v>
      </c>
      <c r="C8" s="45">
        <v>68</v>
      </c>
      <c r="D8" s="42">
        <v>4</v>
      </c>
      <c r="E8" s="29">
        <v>10401366</v>
      </c>
    </row>
    <row r="9" spans="1:5" x14ac:dyDescent="0.65">
      <c r="A9" s="23">
        <v>5685</v>
      </c>
      <c r="B9" s="24" t="s">
        <v>67</v>
      </c>
      <c r="C9" s="45">
        <v>142</v>
      </c>
      <c r="D9" s="42">
        <v>4</v>
      </c>
      <c r="E9" s="29">
        <v>4204544</v>
      </c>
    </row>
    <row r="10" spans="1:5" x14ac:dyDescent="0.65">
      <c r="A10" s="23">
        <v>5744</v>
      </c>
      <c r="B10" s="24" t="s">
        <v>78</v>
      </c>
      <c r="C10" s="45">
        <v>3</v>
      </c>
      <c r="D10" s="42">
        <v>4</v>
      </c>
      <c r="E10" s="29">
        <v>30849011</v>
      </c>
    </row>
    <row r="11" spans="1:5" x14ac:dyDescent="0.65">
      <c r="A11" s="23">
        <v>5863</v>
      </c>
      <c r="B11" s="24" t="s">
        <v>107</v>
      </c>
      <c r="C11" s="45">
        <v>2</v>
      </c>
      <c r="D11" s="42">
        <v>4</v>
      </c>
      <c r="E11" s="29">
        <v>43958845</v>
      </c>
    </row>
    <row r="12" spans="1:5" x14ac:dyDescent="0.65">
      <c r="A12" s="23">
        <v>5870</v>
      </c>
      <c r="B12" s="24" t="s">
        <v>109</v>
      </c>
      <c r="C12" s="45">
        <v>199</v>
      </c>
      <c r="D12" s="42">
        <v>4</v>
      </c>
      <c r="E12" s="29">
        <v>21417389</v>
      </c>
    </row>
    <row r="13" spans="1:5" x14ac:dyDescent="0.65">
      <c r="A13" s="23">
        <v>5898</v>
      </c>
      <c r="B13" s="24" t="s">
        <v>117</v>
      </c>
      <c r="C13" s="45">
        <v>29</v>
      </c>
      <c r="D13" s="42">
        <v>4</v>
      </c>
      <c r="E13" s="29">
        <v>18509406</v>
      </c>
    </row>
    <row r="14" spans="1:5" x14ac:dyDescent="0.65">
      <c r="A14" s="23">
        <v>5900</v>
      </c>
      <c r="B14" s="24" t="s">
        <v>118</v>
      </c>
      <c r="C14" s="45">
        <v>42</v>
      </c>
      <c r="D14" s="42">
        <v>4</v>
      </c>
      <c r="E14" s="29">
        <v>29306949</v>
      </c>
    </row>
    <row r="15" spans="1:5" x14ac:dyDescent="0.65">
      <c r="A15" s="23">
        <v>5918</v>
      </c>
      <c r="B15" s="24" t="s">
        <v>126</v>
      </c>
      <c r="C15" s="45">
        <v>9</v>
      </c>
      <c r="D15" s="42">
        <v>4</v>
      </c>
      <c r="E15" s="29">
        <v>2833642</v>
      </c>
    </row>
    <row r="16" spans="1:5" x14ac:dyDescent="0.65">
      <c r="A16" s="23">
        <v>5919</v>
      </c>
      <c r="B16" s="24" t="s">
        <v>127</v>
      </c>
      <c r="C16" s="45">
        <v>152</v>
      </c>
      <c r="D16" s="42">
        <v>4</v>
      </c>
      <c r="E16" s="29">
        <v>14406008</v>
      </c>
    </row>
    <row r="17" spans="1:5" x14ac:dyDescent="0.65">
      <c r="A17" s="23">
        <v>5936</v>
      </c>
      <c r="B17" s="24" t="s">
        <v>134</v>
      </c>
      <c r="C17" s="45">
        <v>11</v>
      </c>
      <c r="D17" s="42">
        <v>4</v>
      </c>
      <c r="E17" s="29">
        <v>9975757</v>
      </c>
    </row>
    <row r="18" spans="1:5" x14ac:dyDescent="0.65">
      <c r="A18" s="23">
        <v>5966</v>
      </c>
      <c r="B18" s="24" t="s">
        <v>147</v>
      </c>
      <c r="C18" s="45">
        <v>172</v>
      </c>
      <c r="D18" s="42">
        <v>4</v>
      </c>
      <c r="E18" s="29">
        <v>3055414</v>
      </c>
    </row>
    <row r="19" spans="1:5" x14ac:dyDescent="0.65">
      <c r="A19" s="23">
        <v>5982</v>
      </c>
      <c r="B19" s="24" t="s">
        <v>151</v>
      </c>
      <c r="C19" s="45">
        <v>332</v>
      </c>
      <c r="D19" s="42">
        <v>4</v>
      </c>
      <c r="E19" s="29">
        <v>26399847</v>
      </c>
    </row>
    <row r="20" spans="1:5" x14ac:dyDescent="0.65">
      <c r="A20" s="23">
        <v>5992</v>
      </c>
      <c r="B20" s="24" t="s">
        <v>154</v>
      </c>
      <c r="C20" s="45">
        <v>325</v>
      </c>
      <c r="D20" s="42">
        <v>4</v>
      </c>
      <c r="E20" s="29">
        <v>2546178</v>
      </c>
    </row>
    <row r="21" spans="1:5" x14ac:dyDescent="0.65">
      <c r="A21" s="23">
        <v>5997</v>
      </c>
      <c r="B21" s="24" t="s">
        <v>156</v>
      </c>
      <c r="C21" s="45">
        <v>322</v>
      </c>
      <c r="D21" s="42">
        <v>4</v>
      </c>
      <c r="E21" s="29">
        <v>45324315</v>
      </c>
    </row>
    <row r="22" spans="1:5" x14ac:dyDescent="0.65">
      <c r="A22" s="23">
        <v>6019</v>
      </c>
      <c r="B22" s="24" t="s">
        <v>166</v>
      </c>
      <c r="C22" s="45">
        <v>374</v>
      </c>
      <c r="D22" s="42">
        <v>4</v>
      </c>
      <c r="E22" s="29">
        <v>13601952</v>
      </c>
    </row>
    <row r="23" spans="1:5" x14ac:dyDescent="0.65">
      <c r="A23" s="23">
        <v>6020</v>
      </c>
      <c r="B23" s="24" t="s">
        <v>167</v>
      </c>
      <c r="C23" s="45">
        <v>425</v>
      </c>
      <c r="D23" s="42">
        <v>4</v>
      </c>
      <c r="E23" s="29">
        <v>21731250</v>
      </c>
    </row>
  </sheetData>
  <autoFilter ref="A1:B23" xr:uid="{1C25BDCC-AE39-4932-BC80-988F0271AF62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D13C-9049-420D-931D-9CBAAC22374F}">
  <dimension ref="A1:H167"/>
  <sheetViews>
    <sheetView rightToLeft="1" workbookViewId="0">
      <pane ySplit="1" topLeftCell="A101" activePane="bottomLeft" state="frozen"/>
      <selection pane="bottomLeft" sqref="A1:XFD1048576"/>
    </sheetView>
  </sheetViews>
  <sheetFormatPr defaultRowHeight="22.5" x14ac:dyDescent="0.65"/>
  <cols>
    <col min="1" max="1" width="9.75" style="21" bestFit="1" customWidth="1"/>
    <col min="2" max="2" width="24.25" style="21" bestFit="1" customWidth="1"/>
    <col min="3" max="3" width="10.375" style="21" bestFit="1" customWidth="1"/>
    <col min="4" max="4" width="4.625" style="40" bestFit="1" customWidth="1"/>
    <col min="5" max="5" width="11.75" style="37" bestFit="1" customWidth="1"/>
    <col min="6" max="6" width="16.375" style="37" bestFit="1" customWidth="1"/>
    <col min="7" max="7" width="14.375" style="37" bestFit="1" customWidth="1"/>
    <col min="8" max="8" width="19.25" style="37" bestFit="1" customWidth="1"/>
    <col min="9" max="16384" width="9" style="21"/>
  </cols>
  <sheetData>
    <row r="1" spans="1:8" x14ac:dyDescent="0.65">
      <c r="A1" s="34" t="s">
        <v>0</v>
      </c>
      <c r="B1" s="34" t="s">
        <v>1</v>
      </c>
      <c r="C1" s="34" t="s">
        <v>248</v>
      </c>
      <c r="D1" s="39" t="s">
        <v>206</v>
      </c>
      <c r="E1" s="38" t="s">
        <v>247</v>
      </c>
      <c r="F1" s="38" t="s">
        <v>209</v>
      </c>
      <c r="G1" s="38" t="s">
        <v>207</v>
      </c>
      <c r="H1" s="38" t="s">
        <v>208</v>
      </c>
    </row>
    <row r="2" spans="1:8" x14ac:dyDescent="0.65">
      <c r="A2" s="36">
        <v>3567</v>
      </c>
      <c r="B2" s="34" t="s">
        <v>3</v>
      </c>
      <c r="C2" s="39">
        <v>57</v>
      </c>
      <c r="D2" s="39">
        <v>4</v>
      </c>
      <c r="E2" s="35">
        <v>7500000</v>
      </c>
      <c r="F2" s="35">
        <v>0</v>
      </c>
      <c r="G2" s="35">
        <v>0</v>
      </c>
      <c r="H2" s="35">
        <v>0</v>
      </c>
    </row>
    <row r="3" spans="1:8" x14ac:dyDescent="0.65">
      <c r="A3" s="36">
        <v>3607</v>
      </c>
      <c r="B3" s="34" t="s">
        <v>4</v>
      </c>
      <c r="C3" s="39">
        <v>119</v>
      </c>
      <c r="D3" s="39">
        <v>4</v>
      </c>
      <c r="E3" s="35">
        <v>0</v>
      </c>
      <c r="F3" s="35">
        <v>32400000</v>
      </c>
      <c r="G3" s="35">
        <v>0</v>
      </c>
      <c r="H3" s="35">
        <v>0</v>
      </c>
    </row>
    <row r="4" spans="1:8" x14ac:dyDescent="0.65">
      <c r="A4" s="36">
        <v>3653</v>
      </c>
      <c r="B4" s="34" t="s">
        <v>5</v>
      </c>
      <c r="C4" s="39">
        <v>34</v>
      </c>
      <c r="D4" s="39">
        <v>4</v>
      </c>
      <c r="E4" s="35">
        <v>1500000</v>
      </c>
      <c r="F4" s="35">
        <v>32400000</v>
      </c>
      <c r="G4" s="35">
        <v>0</v>
      </c>
      <c r="H4" s="35">
        <v>0</v>
      </c>
    </row>
    <row r="5" spans="1:8" x14ac:dyDescent="0.65">
      <c r="A5" s="36">
        <v>4597</v>
      </c>
      <c r="B5" s="34" t="s">
        <v>7</v>
      </c>
      <c r="C5" s="39">
        <v>38</v>
      </c>
      <c r="D5" s="39">
        <v>4</v>
      </c>
      <c r="E5" s="35">
        <v>4000000</v>
      </c>
      <c r="F5" s="35">
        <v>25920000</v>
      </c>
      <c r="G5" s="35">
        <v>0</v>
      </c>
      <c r="H5" s="35">
        <v>0</v>
      </c>
    </row>
    <row r="6" spans="1:8" x14ac:dyDescent="0.65">
      <c r="A6" s="36">
        <v>4598</v>
      </c>
      <c r="B6" s="34" t="s">
        <v>8</v>
      </c>
      <c r="C6" s="39">
        <v>129</v>
      </c>
      <c r="D6" s="39">
        <v>4</v>
      </c>
      <c r="E6" s="35">
        <v>10500000</v>
      </c>
      <c r="F6" s="35">
        <v>25920000</v>
      </c>
      <c r="G6" s="35">
        <v>40000000</v>
      </c>
      <c r="H6" s="35">
        <v>0</v>
      </c>
    </row>
    <row r="7" spans="1:8" x14ac:dyDescent="0.65">
      <c r="A7" s="36">
        <v>4614</v>
      </c>
      <c r="B7" s="34" t="s">
        <v>9</v>
      </c>
      <c r="C7" s="39">
        <v>140</v>
      </c>
      <c r="D7" s="39">
        <v>4</v>
      </c>
      <c r="E7" s="35">
        <v>7114820</v>
      </c>
      <c r="F7" s="35">
        <v>19440000</v>
      </c>
      <c r="G7" s="35">
        <v>0</v>
      </c>
      <c r="H7" s="35">
        <v>0</v>
      </c>
    </row>
    <row r="8" spans="1:8" x14ac:dyDescent="0.65">
      <c r="A8" s="36">
        <v>4621</v>
      </c>
      <c r="B8" s="34" t="s">
        <v>10</v>
      </c>
      <c r="C8" s="39">
        <v>139</v>
      </c>
      <c r="D8" s="39">
        <v>4</v>
      </c>
      <c r="E8" s="35">
        <v>0</v>
      </c>
      <c r="F8" s="35">
        <v>0</v>
      </c>
      <c r="G8" s="35">
        <v>13285793</v>
      </c>
      <c r="H8" s="35">
        <v>0</v>
      </c>
    </row>
    <row r="9" spans="1:8" x14ac:dyDescent="0.65">
      <c r="A9" s="36">
        <v>4622</v>
      </c>
      <c r="B9" s="34" t="s">
        <v>11</v>
      </c>
      <c r="C9" s="39">
        <v>35</v>
      </c>
      <c r="D9" s="39">
        <v>4</v>
      </c>
      <c r="E9" s="35">
        <v>0</v>
      </c>
      <c r="F9" s="35">
        <v>25920000</v>
      </c>
      <c r="G9" s="35">
        <v>0</v>
      </c>
      <c r="H9" s="35">
        <v>0</v>
      </c>
    </row>
    <row r="10" spans="1:8" x14ac:dyDescent="0.65">
      <c r="A10" s="36">
        <v>4636</v>
      </c>
      <c r="B10" s="34" t="s">
        <v>12</v>
      </c>
      <c r="C10" s="39">
        <v>62</v>
      </c>
      <c r="D10" s="39">
        <v>4</v>
      </c>
      <c r="E10" s="35">
        <v>0</v>
      </c>
      <c r="F10" s="35">
        <v>32400000</v>
      </c>
      <c r="G10" s="35">
        <v>0</v>
      </c>
      <c r="H10" s="35">
        <v>0</v>
      </c>
    </row>
    <row r="11" spans="1:8" x14ac:dyDescent="0.65">
      <c r="A11" s="36">
        <v>4640</v>
      </c>
      <c r="B11" s="34" t="s">
        <v>13</v>
      </c>
      <c r="C11" s="39">
        <v>32</v>
      </c>
      <c r="D11" s="39">
        <v>4</v>
      </c>
      <c r="E11" s="35">
        <v>4478000</v>
      </c>
      <c r="F11" s="35">
        <v>19440000</v>
      </c>
      <c r="G11" s="35">
        <v>0</v>
      </c>
      <c r="H11" s="35">
        <v>0</v>
      </c>
    </row>
    <row r="12" spans="1:8" x14ac:dyDescent="0.65">
      <c r="A12" s="36">
        <v>4648</v>
      </c>
      <c r="B12" s="34" t="s">
        <v>15</v>
      </c>
      <c r="C12" s="39">
        <v>160</v>
      </c>
      <c r="D12" s="39">
        <v>4</v>
      </c>
      <c r="E12" s="35">
        <v>6000000</v>
      </c>
      <c r="F12" s="35">
        <v>19440000</v>
      </c>
      <c r="G12" s="35">
        <v>0</v>
      </c>
      <c r="H12" s="35">
        <v>0</v>
      </c>
    </row>
    <row r="13" spans="1:8" x14ac:dyDescent="0.65">
      <c r="A13" s="36">
        <v>4651</v>
      </c>
      <c r="B13" s="34" t="s">
        <v>16</v>
      </c>
      <c r="C13" s="39">
        <v>52</v>
      </c>
      <c r="D13" s="39">
        <v>4</v>
      </c>
      <c r="E13" s="35">
        <v>4500000</v>
      </c>
      <c r="F13" s="35">
        <v>19440000</v>
      </c>
      <c r="G13" s="35">
        <v>0</v>
      </c>
      <c r="H13" s="35">
        <v>0</v>
      </c>
    </row>
    <row r="14" spans="1:8" x14ac:dyDescent="0.65">
      <c r="A14" s="36">
        <v>4653</v>
      </c>
      <c r="B14" s="34" t="s">
        <v>17</v>
      </c>
      <c r="C14" s="39">
        <v>145</v>
      </c>
      <c r="D14" s="39">
        <v>4</v>
      </c>
      <c r="E14" s="35">
        <v>0</v>
      </c>
      <c r="F14" s="35">
        <v>32400000</v>
      </c>
      <c r="G14" s="35">
        <v>0</v>
      </c>
      <c r="H14" s="35">
        <v>0</v>
      </c>
    </row>
    <row r="15" spans="1:8" x14ac:dyDescent="0.65">
      <c r="A15" s="36">
        <v>4654</v>
      </c>
      <c r="B15" s="34" t="s">
        <v>18</v>
      </c>
      <c r="C15" s="39">
        <v>85</v>
      </c>
      <c r="D15" s="39">
        <v>4</v>
      </c>
      <c r="E15" s="35">
        <v>0</v>
      </c>
      <c r="F15" s="35">
        <v>19440000</v>
      </c>
      <c r="G15" s="35">
        <v>0</v>
      </c>
      <c r="H15" s="35">
        <v>0</v>
      </c>
    </row>
    <row r="16" spans="1:8" x14ac:dyDescent="0.65">
      <c r="A16" s="36">
        <v>4655</v>
      </c>
      <c r="B16" s="34" t="s">
        <v>19</v>
      </c>
      <c r="C16" s="39">
        <v>122</v>
      </c>
      <c r="D16" s="39">
        <v>4</v>
      </c>
      <c r="E16" s="35">
        <v>0</v>
      </c>
      <c r="F16" s="35">
        <v>12960000</v>
      </c>
      <c r="G16" s="35">
        <v>50000000</v>
      </c>
      <c r="H16" s="35">
        <v>0</v>
      </c>
    </row>
    <row r="17" spans="1:8" x14ac:dyDescent="0.65">
      <c r="A17" s="36">
        <v>4656</v>
      </c>
      <c r="B17" s="34" t="s">
        <v>20</v>
      </c>
      <c r="C17" s="39">
        <v>39</v>
      </c>
      <c r="D17" s="39">
        <v>4</v>
      </c>
      <c r="E17" s="35">
        <v>3000000</v>
      </c>
      <c r="F17" s="35">
        <v>32400000</v>
      </c>
      <c r="G17" s="35">
        <v>0</v>
      </c>
      <c r="H17" s="35">
        <v>0</v>
      </c>
    </row>
    <row r="18" spans="1:8" x14ac:dyDescent="0.65">
      <c r="A18" s="36">
        <v>4657</v>
      </c>
      <c r="B18" s="34" t="s">
        <v>21</v>
      </c>
      <c r="C18" s="39">
        <v>71</v>
      </c>
      <c r="D18" s="39">
        <v>4</v>
      </c>
      <c r="E18" s="35">
        <v>0</v>
      </c>
      <c r="F18" s="35">
        <v>25920000</v>
      </c>
      <c r="G18" s="35">
        <v>40000000</v>
      </c>
      <c r="H18" s="35">
        <v>0</v>
      </c>
    </row>
    <row r="19" spans="1:8" x14ac:dyDescent="0.65">
      <c r="A19" s="36">
        <v>4658</v>
      </c>
      <c r="B19" s="34" t="s">
        <v>22</v>
      </c>
      <c r="C19" s="39">
        <v>67</v>
      </c>
      <c r="D19" s="39">
        <v>4</v>
      </c>
      <c r="E19" s="35">
        <v>0</v>
      </c>
      <c r="F19" s="35">
        <v>19440000</v>
      </c>
      <c r="G19" s="35">
        <v>0</v>
      </c>
      <c r="H19" s="35">
        <v>0</v>
      </c>
    </row>
    <row r="20" spans="1:8" x14ac:dyDescent="0.65">
      <c r="A20" s="36">
        <v>4660</v>
      </c>
      <c r="B20" s="34" t="s">
        <v>23</v>
      </c>
      <c r="C20" s="39">
        <v>72</v>
      </c>
      <c r="D20" s="39">
        <v>4</v>
      </c>
      <c r="E20" s="35">
        <v>0</v>
      </c>
      <c r="F20" s="35">
        <v>25920000</v>
      </c>
      <c r="G20" s="35">
        <v>40000000</v>
      </c>
      <c r="H20" s="35">
        <v>0</v>
      </c>
    </row>
    <row r="21" spans="1:8" x14ac:dyDescent="0.65">
      <c r="A21" s="36">
        <v>4661</v>
      </c>
      <c r="B21" s="34" t="s">
        <v>24</v>
      </c>
      <c r="C21" s="39">
        <v>63</v>
      </c>
      <c r="D21" s="39">
        <v>4</v>
      </c>
      <c r="E21" s="35">
        <v>2823430</v>
      </c>
      <c r="F21" s="35">
        <v>25920000</v>
      </c>
      <c r="G21" s="35">
        <v>0</v>
      </c>
      <c r="H21" s="35">
        <v>0</v>
      </c>
    </row>
    <row r="22" spans="1:8" x14ac:dyDescent="0.65">
      <c r="A22" s="36">
        <v>4663</v>
      </c>
      <c r="B22" s="34" t="s">
        <v>25</v>
      </c>
      <c r="C22" s="39">
        <v>70</v>
      </c>
      <c r="D22" s="39">
        <v>4</v>
      </c>
      <c r="E22" s="35">
        <v>1500000</v>
      </c>
      <c r="F22" s="35">
        <v>51840000</v>
      </c>
      <c r="G22" s="35">
        <v>0</v>
      </c>
      <c r="H22" s="35">
        <v>0</v>
      </c>
    </row>
    <row r="23" spans="1:8" x14ac:dyDescent="0.65">
      <c r="A23" s="36">
        <v>4664</v>
      </c>
      <c r="B23" s="34" t="s">
        <v>26</v>
      </c>
      <c r="C23" s="39">
        <v>65</v>
      </c>
      <c r="D23" s="39">
        <v>4</v>
      </c>
      <c r="E23" s="35">
        <v>1500000</v>
      </c>
      <c r="F23" s="35">
        <v>25920000</v>
      </c>
      <c r="G23" s="35">
        <v>0</v>
      </c>
      <c r="H23" s="35">
        <v>0</v>
      </c>
    </row>
    <row r="24" spans="1:8" x14ac:dyDescent="0.65">
      <c r="A24" s="36">
        <v>4665</v>
      </c>
      <c r="B24" s="34" t="s">
        <v>27</v>
      </c>
      <c r="C24" s="39">
        <v>64</v>
      </c>
      <c r="D24" s="39">
        <v>4</v>
      </c>
      <c r="E24" s="35">
        <v>3000000</v>
      </c>
      <c r="F24" s="35">
        <v>0</v>
      </c>
      <c r="G24" s="35">
        <v>40000000</v>
      </c>
      <c r="H24" s="35">
        <v>0</v>
      </c>
    </row>
    <row r="25" spans="1:8" x14ac:dyDescent="0.65">
      <c r="A25" s="36">
        <v>4666</v>
      </c>
      <c r="B25" s="34" t="s">
        <v>28</v>
      </c>
      <c r="C25" s="39">
        <v>69</v>
      </c>
      <c r="D25" s="39">
        <v>4</v>
      </c>
      <c r="E25" s="35">
        <v>0</v>
      </c>
      <c r="F25" s="35">
        <v>19440000</v>
      </c>
      <c r="G25" s="35">
        <v>80000000</v>
      </c>
      <c r="H25" s="35">
        <v>0</v>
      </c>
    </row>
    <row r="26" spans="1:8" x14ac:dyDescent="0.65">
      <c r="A26" s="36">
        <v>4668</v>
      </c>
      <c r="B26" s="34" t="s">
        <v>30</v>
      </c>
      <c r="C26" s="39">
        <v>66</v>
      </c>
      <c r="D26" s="39">
        <v>4</v>
      </c>
      <c r="E26" s="35">
        <v>0</v>
      </c>
      <c r="F26" s="35">
        <v>25920000</v>
      </c>
      <c r="G26" s="35">
        <v>0</v>
      </c>
      <c r="H26" s="35">
        <v>0</v>
      </c>
    </row>
    <row r="27" spans="1:8" x14ac:dyDescent="0.65">
      <c r="A27" s="36">
        <v>4669</v>
      </c>
      <c r="B27" s="34" t="s">
        <v>31</v>
      </c>
      <c r="C27" s="39">
        <v>68</v>
      </c>
      <c r="D27" s="39">
        <v>4</v>
      </c>
      <c r="E27" s="35">
        <v>0</v>
      </c>
      <c r="F27" s="35">
        <v>45360000</v>
      </c>
      <c r="G27" s="35">
        <v>0</v>
      </c>
      <c r="H27" s="35">
        <v>0</v>
      </c>
    </row>
    <row r="28" spans="1:8" x14ac:dyDescent="0.65">
      <c r="A28" s="36">
        <v>4670</v>
      </c>
      <c r="B28" s="34" t="s">
        <v>32</v>
      </c>
      <c r="C28" s="39">
        <v>90</v>
      </c>
      <c r="D28" s="39">
        <v>4</v>
      </c>
      <c r="E28" s="35">
        <v>1500000</v>
      </c>
      <c r="F28" s="35">
        <v>19440000</v>
      </c>
      <c r="G28" s="35">
        <v>40000000</v>
      </c>
      <c r="H28" s="35">
        <v>0</v>
      </c>
    </row>
    <row r="29" spans="1:8" x14ac:dyDescent="0.65">
      <c r="A29" s="36">
        <v>4671</v>
      </c>
      <c r="B29" s="34" t="s">
        <v>33</v>
      </c>
      <c r="C29" s="39">
        <v>73</v>
      </c>
      <c r="D29" s="39">
        <v>4</v>
      </c>
      <c r="E29" s="35">
        <v>1500000</v>
      </c>
      <c r="F29" s="35">
        <v>19440000</v>
      </c>
      <c r="G29" s="35">
        <v>75638888</v>
      </c>
      <c r="H29" s="35">
        <v>0</v>
      </c>
    </row>
    <row r="30" spans="1:8" x14ac:dyDescent="0.65">
      <c r="A30" s="36">
        <v>4673</v>
      </c>
      <c r="B30" s="34" t="s">
        <v>34</v>
      </c>
      <c r="C30" s="39"/>
      <c r="D30" s="39">
        <v>4</v>
      </c>
      <c r="E30" s="35">
        <v>3000000</v>
      </c>
      <c r="F30" s="35">
        <v>19440000</v>
      </c>
      <c r="G30" s="35">
        <v>0</v>
      </c>
      <c r="H30" s="35">
        <v>0</v>
      </c>
    </row>
    <row r="31" spans="1:8" x14ac:dyDescent="0.65">
      <c r="A31" s="36">
        <v>4686</v>
      </c>
      <c r="B31" s="34" t="s">
        <v>35</v>
      </c>
      <c r="C31" s="39">
        <v>27</v>
      </c>
      <c r="D31" s="39">
        <v>4</v>
      </c>
      <c r="E31" s="35">
        <v>2120000</v>
      </c>
      <c r="F31" s="35">
        <v>12960000</v>
      </c>
      <c r="G31" s="35">
        <v>0</v>
      </c>
      <c r="H31" s="35">
        <v>0</v>
      </c>
    </row>
    <row r="32" spans="1:8" x14ac:dyDescent="0.65">
      <c r="A32" s="36">
        <v>4687</v>
      </c>
      <c r="B32" s="34" t="s">
        <v>36</v>
      </c>
      <c r="C32" s="39">
        <v>136</v>
      </c>
      <c r="D32" s="39">
        <v>4</v>
      </c>
      <c r="E32" s="35">
        <v>3000000</v>
      </c>
      <c r="F32" s="35">
        <v>0</v>
      </c>
      <c r="G32" s="35">
        <v>0</v>
      </c>
      <c r="H32" s="35">
        <v>0</v>
      </c>
    </row>
    <row r="33" spans="1:8" x14ac:dyDescent="0.65">
      <c r="A33" s="36">
        <v>4688</v>
      </c>
      <c r="B33" s="34" t="s">
        <v>37</v>
      </c>
      <c r="C33" s="39">
        <v>143</v>
      </c>
      <c r="D33" s="39">
        <v>4</v>
      </c>
      <c r="E33" s="35">
        <v>1500000</v>
      </c>
      <c r="F33" s="35">
        <v>25920000</v>
      </c>
      <c r="G33" s="35">
        <v>0</v>
      </c>
      <c r="H33" s="35">
        <v>0</v>
      </c>
    </row>
    <row r="34" spans="1:8" x14ac:dyDescent="0.65">
      <c r="A34" s="36">
        <v>4689</v>
      </c>
      <c r="B34" s="34" t="s">
        <v>38</v>
      </c>
      <c r="C34" s="39">
        <v>96</v>
      </c>
      <c r="D34" s="39">
        <v>4</v>
      </c>
      <c r="E34" s="35">
        <v>0</v>
      </c>
      <c r="F34" s="35">
        <v>12960000</v>
      </c>
      <c r="G34" s="35">
        <v>0</v>
      </c>
      <c r="H34" s="35">
        <v>0</v>
      </c>
    </row>
    <row r="35" spans="1:8" x14ac:dyDescent="0.65">
      <c r="A35" s="36">
        <v>4693</v>
      </c>
      <c r="B35" s="34" t="s">
        <v>39</v>
      </c>
      <c r="C35" s="39">
        <v>24</v>
      </c>
      <c r="D35" s="39">
        <v>4</v>
      </c>
      <c r="E35" s="35">
        <v>1500000</v>
      </c>
      <c r="F35" s="35">
        <v>6480000</v>
      </c>
      <c r="G35" s="35">
        <v>0</v>
      </c>
      <c r="H35" s="35">
        <v>0</v>
      </c>
    </row>
    <row r="36" spans="1:8" x14ac:dyDescent="0.65">
      <c r="A36" s="36">
        <v>4701</v>
      </c>
      <c r="B36" s="34" t="s">
        <v>40</v>
      </c>
      <c r="C36" s="39">
        <v>138</v>
      </c>
      <c r="D36" s="39">
        <v>4</v>
      </c>
      <c r="E36" s="35">
        <v>4500000</v>
      </c>
      <c r="F36" s="35">
        <v>0</v>
      </c>
      <c r="G36" s="35">
        <v>0</v>
      </c>
      <c r="H36" s="35">
        <v>0</v>
      </c>
    </row>
    <row r="37" spans="1:8" x14ac:dyDescent="0.65">
      <c r="A37" s="36">
        <v>4705</v>
      </c>
      <c r="B37" s="34" t="s">
        <v>41</v>
      </c>
      <c r="C37" s="39">
        <v>134</v>
      </c>
      <c r="D37" s="39">
        <v>4</v>
      </c>
      <c r="E37" s="35">
        <v>1500000</v>
      </c>
      <c r="F37" s="35">
        <v>6480000</v>
      </c>
      <c r="G37" s="35">
        <v>0</v>
      </c>
      <c r="H37" s="35">
        <v>0</v>
      </c>
    </row>
    <row r="38" spans="1:8" x14ac:dyDescent="0.65">
      <c r="A38" s="36">
        <v>4727</v>
      </c>
      <c r="B38" s="34" t="s">
        <v>42</v>
      </c>
      <c r="C38" s="39">
        <v>58</v>
      </c>
      <c r="D38" s="39">
        <v>4</v>
      </c>
      <c r="E38" s="35">
        <v>0</v>
      </c>
      <c r="F38" s="35">
        <v>6480000</v>
      </c>
      <c r="G38" s="35">
        <v>0</v>
      </c>
      <c r="H38" s="35">
        <v>0</v>
      </c>
    </row>
    <row r="39" spans="1:8" x14ac:dyDescent="0.65">
      <c r="A39" s="36">
        <v>4728</v>
      </c>
      <c r="B39" s="34" t="s">
        <v>43</v>
      </c>
      <c r="C39" s="39">
        <v>144</v>
      </c>
      <c r="D39" s="39">
        <v>4</v>
      </c>
      <c r="E39" s="35">
        <v>0</v>
      </c>
      <c r="F39" s="35">
        <v>6480000</v>
      </c>
      <c r="G39" s="35">
        <v>0</v>
      </c>
      <c r="H39" s="35">
        <v>0</v>
      </c>
    </row>
    <row r="40" spans="1:8" x14ac:dyDescent="0.65">
      <c r="A40" s="36">
        <v>4735</v>
      </c>
      <c r="B40" s="34" t="s">
        <v>45</v>
      </c>
      <c r="C40" s="39">
        <v>141</v>
      </c>
      <c r="D40" s="39">
        <v>4</v>
      </c>
      <c r="E40" s="35">
        <v>0</v>
      </c>
      <c r="F40" s="35">
        <v>32400000</v>
      </c>
      <c r="G40" s="35">
        <v>0</v>
      </c>
      <c r="H40" s="35">
        <v>0</v>
      </c>
    </row>
    <row r="41" spans="1:8" x14ac:dyDescent="0.65">
      <c r="A41" s="36">
        <v>5616</v>
      </c>
      <c r="B41" s="34" t="s">
        <v>46</v>
      </c>
      <c r="C41" s="39">
        <v>40</v>
      </c>
      <c r="D41" s="39">
        <v>4</v>
      </c>
      <c r="E41" s="35">
        <v>0</v>
      </c>
      <c r="F41" s="35">
        <v>32400000</v>
      </c>
      <c r="G41" s="35">
        <v>0</v>
      </c>
      <c r="H41" s="35">
        <v>0</v>
      </c>
    </row>
    <row r="42" spans="1:8" x14ac:dyDescent="0.65">
      <c r="A42" s="36">
        <v>5621</v>
      </c>
      <c r="B42" s="34" t="s">
        <v>47</v>
      </c>
      <c r="C42" s="39">
        <v>97</v>
      </c>
      <c r="D42" s="39">
        <v>4</v>
      </c>
      <c r="E42" s="35">
        <v>0</v>
      </c>
      <c r="F42" s="35">
        <v>19440000</v>
      </c>
      <c r="G42" s="35">
        <v>0</v>
      </c>
      <c r="H42" s="35">
        <v>0</v>
      </c>
    </row>
    <row r="43" spans="1:8" x14ac:dyDescent="0.65">
      <c r="A43" s="36">
        <v>5623</v>
      </c>
      <c r="B43" s="34" t="s">
        <v>48</v>
      </c>
      <c r="C43" s="39">
        <v>100</v>
      </c>
      <c r="D43" s="39">
        <v>4</v>
      </c>
      <c r="E43" s="35">
        <v>1687500</v>
      </c>
      <c r="F43" s="35">
        <v>12960000</v>
      </c>
      <c r="G43" s="35">
        <v>0</v>
      </c>
      <c r="H43" s="35">
        <v>0</v>
      </c>
    </row>
    <row r="44" spans="1:8" x14ac:dyDescent="0.65">
      <c r="A44" s="36">
        <v>5624</v>
      </c>
      <c r="B44" s="34" t="s">
        <v>49</v>
      </c>
      <c r="C44" s="39">
        <v>109</v>
      </c>
      <c r="D44" s="39">
        <v>4</v>
      </c>
      <c r="E44" s="35">
        <v>1500000</v>
      </c>
      <c r="F44" s="35">
        <v>19440000</v>
      </c>
      <c r="G44" s="35">
        <v>40000000</v>
      </c>
      <c r="H44" s="35">
        <v>0</v>
      </c>
    </row>
    <row r="45" spans="1:8" x14ac:dyDescent="0.65">
      <c r="A45" s="36">
        <v>5626</v>
      </c>
      <c r="B45" s="34" t="s">
        <v>50</v>
      </c>
      <c r="C45" s="39">
        <v>37</v>
      </c>
      <c r="D45" s="39">
        <v>4</v>
      </c>
      <c r="E45" s="35">
        <v>0</v>
      </c>
      <c r="F45" s="35">
        <v>12960000</v>
      </c>
      <c r="G45" s="35">
        <v>0</v>
      </c>
      <c r="H45" s="35">
        <v>0</v>
      </c>
    </row>
    <row r="46" spans="1:8" x14ac:dyDescent="0.65">
      <c r="A46" s="36">
        <v>5627</v>
      </c>
      <c r="B46" s="34" t="s">
        <v>51</v>
      </c>
      <c r="C46" s="39">
        <v>101</v>
      </c>
      <c r="D46" s="39">
        <v>4</v>
      </c>
      <c r="E46" s="35">
        <v>1500000</v>
      </c>
      <c r="F46" s="35">
        <v>12960000</v>
      </c>
      <c r="G46" s="35">
        <v>0</v>
      </c>
      <c r="H46" s="35">
        <v>0</v>
      </c>
    </row>
    <row r="47" spans="1:8" x14ac:dyDescent="0.65">
      <c r="A47" s="36">
        <v>5628</v>
      </c>
      <c r="B47" s="34" t="s">
        <v>52</v>
      </c>
      <c r="C47" s="39">
        <v>123</v>
      </c>
      <c r="D47" s="39">
        <v>4</v>
      </c>
      <c r="E47" s="35">
        <v>1983600</v>
      </c>
      <c r="F47" s="35">
        <v>12960000</v>
      </c>
      <c r="G47" s="35">
        <v>0</v>
      </c>
      <c r="H47" s="35">
        <v>0</v>
      </c>
    </row>
    <row r="48" spans="1:8" x14ac:dyDescent="0.65">
      <c r="A48" s="36">
        <v>5629</v>
      </c>
      <c r="B48" s="34" t="s">
        <v>53</v>
      </c>
      <c r="C48" s="39">
        <v>46</v>
      </c>
      <c r="D48" s="39">
        <v>4</v>
      </c>
      <c r="E48" s="35">
        <v>1500000</v>
      </c>
      <c r="F48" s="35">
        <v>12960000</v>
      </c>
      <c r="G48" s="35">
        <v>40000000</v>
      </c>
      <c r="H48" s="35">
        <v>0</v>
      </c>
    </row>
    <row r="49" spans="1:8" x14ac:dyDescent="0.65">
      <c r="A49" s="36">
        <v>5630</v>
      </c>
      <c r="B49" s="34" t="s">
        <v>54</v>
      </c>
      <c r="C49" s="39">
        <v>102</v>
      </c>
      <c r="D49" s="39">
        <v>4</v>
      </c>
      <c r="E49" s="35">
        <v>0</v>
      </c>
      <c r="F49" s="35">
        <v>19440000</v>
      </c>
      <c r="G49" s="35">
        <v>0</v>
      </c>
      <c r="H49" s="35">
        <v>0</v>
      </c>
    </row>
    <row r="50" spans="1:8" x14ac:dyDescent="0.65">
      <c r="A50" s="36">
        <v>5632</v>
      </c>
      <c r="B50" s="34" t="s">
        <v>55</v>
      </c>
      <c r="C50" s="39">
        <v>108</v>
      </c>
      <c r="D50" s="39">
        <v>4</v>
      </c>
      <c r="E50" s="35">
        <v>0</v>
      </c>
      <c r="F50" s="35">
        <v>25920000</v>
      </c>
      <c r="G50" s="35">
        <v>0</v>
      </c>
      <c r="H50" s="35">
        <v>0</v>
      </c>
    </row>
    <row r="51" spans="1:8" x14ac:dyDescent="0.65">
      <c r="A51" s="36">
        <v>5635</v>
      </c>
      <c r="B51" s="34" t="s">
        <v>57</v>
      </c>
      <c r="C51" s="39">
        <v>106</v>
      </c>
      <c r="D51" s="39">
        <v>4</v>
      </c>
      <c r="E51" s="35">
        <v>1500000</v>
      </c>
      <c r="F51" s="35">
        <v>25920000</v>
      </c>
      <c r="G51" s="35">
        <v>0</v>
      </c>
      <c r="H51" s="35">
        <v>0</v>
      </c>
    </row>
    <row r="52" spans="1:8" x14ac:dyDescent="0.65">
      <c r="A52" s="36">
        <v>5637</v>
      </c>
      <c r="B52" s="34" t="s">
        <v>58</v>
      </c>
      <c r="C52" s="39">
        <v>107</v>
      </c>
      <c r="D52" s="39">
        <v>4</v>
      </c>
      <c r="E52" s="35">
        <v>0</v>
      </c>
      <c r="F52" s="35">
        <v>25920000</v>
      </c>
      <c r="G52" s="35">
        <v>0</v>
      </c>
      <c r="H52" s="35">
        <v>0</v>
      </c>
    </row>
    <row r="53" spans="1:8" x14ac:dyDescent="0.65">
      <c r="A53" s="36">
        <v>5638</v>
      </c>
      <c r="B53" s="34" t="s">
        <v>59</v>
      </c>
      <c r="C53" s="39">
        <v>87</v>
      </c>
      <c r="D53" s="39">
        <v>4</v>
      </c>
      <c r="E53" s="35">
        <v>4500000</v>
      </c>
      <c r="F53" s="35">
        <v>12960000</v>
      </c>
      <c r="G53" s="35">
        <v>40000000</v>
      </c>
      <c r="H53" s="35">
        <v>0</v>
      </c>
    </row>
    <row r="54" spans="1:8" x14ac:dyDescent="0.65">
      <c r="A54" s="36">
        <v>5655</v>
      </c>
      <c r="B54" s="34" t="s">
        <v>63</v>
      </c>
      <c r="C54" s="39">
        <v>130</v>
      </c>
      <c r="D54" s="39">
        <v>4</v>
      </c>
      <c r="E54" s="35">
        <v>0</v>
      </c>
      <c r="F54" s="35">
        <v>19440000</v>
      </c>
      <c r="G54" s="35">
        <v>0</v>
      </c>
      <c r="H54" s="35">
        <v>0</v>
      </c>
    </row>
    <row r="55" spans="1:8" x14ac:dyDescent="0.65">
      <c r="A55" s="36">
        <v>5671</v>
      </c>
      <c r="B55" s="34" t="s">
        <v>65</v>
      </c>
      <c r="C55" s="39">
        <v>128</v>
      </c>
      <c r="D55" s="39">
        <v>4</v>
      </c>
      <c r="E55" s="35">
        <v>1882360</v>
      </c>
      <c r="F55" s="35">
        <v>0</v>
      </c>
      <c r="G55" s="35">
        <v>0</v>
      </c>
      <c r="H55" s="35">
        <v>0</v>
      </c>
    </row>
    <row r="56" spans="1:8" x14ac:dyDescent="0.65">
      <c r="A56" s="36">
        <v>5675</v>
      </c>
      <c r="B56" s="34" t="s">
        <v>66</v>
      </c>
      <c r="C56" s="39">
        <v>103</v>
      </c>
      <c r="D56" s="39">
        <v>4</v>
      </c>
      <c r="E56" s="35">
        <v>0</v>
      </c>
      <c r="F56" s="35">
        <v>12960000</v>
      </c>
      <c r="G56" s="35">
        <v>40000000</v>
      </c>
      <c r="H56" s="35">
        <v>0</v>
      </c>
    </row>
    <row r="57" spans="1:8" x14ac:dyDescent="0.65">
      <c r="A57" s="36">
        <v>5685</v>
      </c>
      <c r="B57" s="34" t="s">
        <v>67</v>
      </c>
      <c r="C57" s="39">
        <v>142</v>
      </c>
      <c r="D57" s="39">
        <v>4</v>
      </c>
      <c r="E57" s="35">
        <v>0</v>
      </c>
      <c r="F57" s="35">
        <v>19440000</v>
      </c>
      <c r="G57" s="35">
        <v>0</v>
      </c>
      <c r="H57" s="35">
        <v>0</v>
      </c>
    </row>
    <row r="58" spans="1:8" x14ac:dyDescent="0.65">
      <c r="A58" s="36">
        <v>5699</v>
      </c>
      <c r="B58" s="34" t="s">
        <v>68</v>
      </c>
      <c r="C58" s="39">
        <v>159</v>
      </c>
      <c r="D58" s="39">
        <v>4</v>
      </c>
      <c r="E58" s="35">
        <v>0</v>
      </c>
      <c r="F58" s="35">
        <v>32400000</v>
      </c>
      <c r="G58" s="35">
        <v>0</v>
      </c>
      <c r="H58" s="35">
        <v>0</v>
      </c>
    </row>
    <row r="59" spans="1:8" x14ac:dyDescent="0.65">
      <c r="A59" s="36">
        <v>5705</v>
      </c>
      <c r="B59" s="34" t="s">
        <v>70</v>
      </c>
      <c r="C59" s="39">
        <v>104</v>
      </c>
      <c r="D59" s="39">
        <v>4</v>
      </c>
      <c r="E59" s="35">
        <v>0</v>
      </c>
      <c r="F59" s="35">
        <v>25920000</v>
      </c>
      <c r="G59" s="35">
        <v>0</v>
      </c>
      <c r="H59" s="35">
        <v>0</v>
      </c>
    </row>
    <row r="60" spans="1:8" x14ac:dyDescent="0.65">
      <c r="A60" s="36">
        <v>5708</v>
      </c>
      <c r="B60" s="34" t="s">
        <v>72</v>
      </c>
      <c r="C60" s="39">
        <v>50</v>
      </c>
      <c r="D60" s="39">
        <v>4</v>
      </c>
      <c r="E60" s="35">
        <v>0</v>
      </c>
      <c r="F60" s="35">
        <v>19440000</v>
      </c>
      <c r="G60" s="35">
        <v>0</v>
      </c>
      <c r="H60" s="35">
        <v>0</v>
      </c>
    </row>
    <row r="61" spans="1:8" x14ac:dyDescent="0.65">
      <c r="A61" s="36">
        <v>5710</v>
      </c>
      <c r="B61" s="34" t="s">
        <v>73</v>
      </c>
      <c r="C61" s="39">
        <v>74</v>
      </c>
      <c r="D61" s="39">
        <v>4</v>
      </c>
      <c r="E61" s="35">
        <v>0</v>
      </c>
      <c r="F61" s="35">
        <v>19440000</v>
      </c>
      <c r="G61" s="35">
        <v>0</v>
      </c>
      <c r="H61" s="35">
        <v>0</v>
      </c>
    </row>
    <row r="62" spans="1:8" x14ac:dyDescent="0.65">
      <c r="A62" s="36">
        <v>5711</v>
      </c>
      <c r="B62" s="34" t="s">
        <v>74</v>
      </c>
      <c r="C62" s="39">
        <v>105</v>
      </c>
      <c r="D62" s="39">
        <v>4</v>
      </c>
      <c r="E62" s="35">
        <v>0</v>
      </c>
      <c r="F62" s="35">
        <v>19440000</v>
      </c>
      <c r="G62" s="35">
        <v>0</v>
      </c>
      <c r="H62" s="35">
        <v>0</v>
      </c>
    </row>
    <row r="63" spans="1:8" x14ac:dyDescent="0.65">
      <c r="A63" s="36">
        <v>5727</v>
      </c>
      <c r="B63" s="34" t="s">
        <v>76</v>
      </c>
      <c r="C63" s="39">
        <v>47</v>
      </c>
      <c r="D63" s="39">
        <v>4</v>
      </c>
      <c r="E63" s="35">
        <v>0</v>
      </c>
      <c r="F63" s="35">
        <v>38880000</v>
      </c>
      <c r="G63" s="35">
        <v>0</v>
      </c>
      <c r="H63" s="35">
        <v>0</v>
      </c>
    </row>
    <row r="64" spans="1:8" x14ac:dyDescent="0.65">
      <c r="A64" s="36">
        <v>5734</v>
      </c>
      <c r="B64" s="34" t="s">
        <v>77</v>
      </c>
      <c r="C64" s="39">
        <v>98</v>
      </c>
      <c r="D64" s="39">
        <v>4</v>
      </c>
      <c r="E64" s="35">
        <v>0</v>
      </c>
      <c r="F64" s="35">
        <v>6480000</v>
      </c>
      <c r="G64" s="35">
        <v>40000000</v>
      </c>
      <c r="H64" s="35">
        <v>0</v>
      </c>
    </row>
    <row r="65" spans="1:8" x14ac:dyDescent="0.65">
      <c r="A65" s="36">
        <v>5744</v>
      </c>
      <c r="B65" s="34" t="s">
        <v>78</v>
      </c>
      <c r="C65" s="39">
        <v>3</v>
      </c>
      <c r="D65" s="39">
        <v>4</v>
      </c>
      <c r="E65" s="35">
        <v>0</v>
      </c>
      <c r="F65" s="35">
        <v>0</v>
      </c>
      <c r="G65" s="35">
        <v>100000000</v>
      </c>
      <c r="H65" s="35">
        <v>0</v>
      </c>
    </row>
    <row r="66" spans="1:8" x14ac:dyDescent="0.65">
      <c r="A66" s="36">
        <v>5765</v>
      </c>
      <c r="B66" s="34" t="s">
        <v>80</v>
      </c>
      <c r="C66" s="39">
        <v>51</v>
      </c>
      <c r="D66" s="39">
        <v>4</v>
      </c>
      <c r="E66" s="35">
        <v>0</v>
      </c>
      <c r="F66" s="35">
        <v>19440000</v>
      </c>
      <c r="G66" s="35">
        <v>0</v>
      </c>
      <c r="H66" s="35">
        <v>0</v>
      </c>
    </row>
    <row r="67" spans="1:8" x14ac:dyDescent="0.65">
      <c r="A67" s="36">
        <v>5766</v>
      </c>
      <c r="B67" s="34" t="s">
        <v>81</v>
      </c>
      <c r="C67" s="39">
        <v>135</v>
      </c>
      <c r="D67" s="39">
        <v>4</v>
      </c>
      <c r="E67" s="35">
        <v>0</v>
      </c>
      <c r="F67" s="35">
        <v>19440000</v>
      </c>
      <c r="G67" s="35">
        <v>0</v>
      </c>
      <c r="H67" s="35">
        <v>0</v>
      </c>
    </row>
    <row r="68" spans="1:8" x14ac:dyDescent="0.65">
      <c r="A68" s="36">
        <v>5771</v>
      </c>
      <c r="B68" s="34" t="s">
        <v>82</v>
      </c>
      <c r="C68" s="39">
        <v>77</v>
      </c>
      <c r="D68" s="39">
        <v>4</v>
      </c>
      <c r="E68" s="35">
        <v>1464000</v>
      </c>
      <c r="F68" s="35">
        <v>12960000</v>
      </c>
      <c r="G68" s="35">
        <v>40000000</v>
      </c>
      <c r="H68" s="35">
        <v>0</v>
      </c>
    </row>
    <row r="69" spans="1:8" x14ac:dyDescent="0.65">
      <c r="A69" s="36">
        <v>5783</v>
      </c>
      <c r="B69" s="34" t="s">
        <v>84</v>
      </c>
      <c r="C69" s="39">
        <v>79</v>
      </c>
      <c r="D69" s="39">
        <v>4</v>
      </c>
      <c r="E69" s="35">
        <v>1500000</v>
      </c>
      <c r="F69" s="35">
        <v>51840000</v>
      </c>
      <c r="G69" s="35">
        <v>0</v>
      </c>
      <c r="H69" s="35">
        <v>0</v>
      </c>
    </row>
    <row r="70" spans="1:8" x14ac:dyDescent="0.65">
      <c r="A70" s="36">
        <v>5784</v>
      </c>
      <c r="B70" s="34" t="s">
        <v>85</v>
      </c>
      <c r="C70" s="39">
        <v>148</v>
      </c>
      <c r="D70" s="39">
        <v>4</v>
      </c>
      <c r="E70" s="35">
        <v>0</v>
      </c>
      <c r="F70" s="35">
        <v>32400000</v>
      </c>
      <c r="G70" s="35">
        <v>40000000</v>
      </c>
      <c r="H70" s="35">
        <v>0</v>
      </c>
    </row>
    <row r="71" spans="1:8" x14ac:dyDescent="0.65">
      <c r="A71" s="36">
        <v>5791</v>
      </c>
      <c r="B71" s="34" t="s">
        <v>86</v>
      </c>
      <c r="C71" s="39">
        <v>150</v>
      </c>
      <c r="D71" s="39">
        <v>4</v>
      </c>
      <c r="E71" s="35">
        <v>3000000</v>
      </c>
      <c r="F71" s="35">
        <v>6480000</v>
      </c>
      <c r="G71" s="35">
        <v>0</v>
      </c>
      <c r="H71" s="35">
        <v>0</v>
      </c>
    </row>
    <row r="72" spans="1:8" x14ac:dyDescent="0.65">
      <c r="A72" s="36">
        <v>5793</v>
      </c>
      <c r="B72" s="34" t="s">
        <v>87</v>
      </c>
      <c r="C72" s="39">
        <v>43</v>
      </c>
      <c r="D72" s="39">
        <v>4</v>
      </c>
      <c r="E72" s="35">
        <v>0</v>
      </c>
      <c r="F72" s="35">
        <v>0</v>
      </c>
      <c r="G72" s="35">
        <v>40000000</v>
      </c>
      <c r="H72" s="35">
        <v>0</v>
      </c>
    </row>
    <row r="73" spans="1:8" x14ac:dyDescent="0.65">
      <c r="A73" s="36">
        <v>5799</v>
      </c>
      <c r="B73" s="34" t="s">
        <v>90</v>
      </c>
      <c r="C73" s="39">
        <v>224</v>
      </c>
      <c r="D73" s="39">
        <v>4</v>
      </c>
      <c r="E73" s="35">
        <v>5100000</v>
      </c>
      <c r="F73" s="35">
        <v>0</v>
      </c>
      <c r="G73" s="35">
        <v>0</v>
      </c>
      <c r="H73" s="35">
        <v>0</v>
      </c>
    </row>
    <row r="74" spans="1:8" x14ac:dyDescent="0.65">
      <c r="A74" s="36">
        <v>5811</v>
      </c>
      <c r="B74" s="34" t="s">
        <v>91</v>
      </c>
      <c r="C74" s="39">
        <v>149</v>
      </c>
      <c r="D74" s="39">
        <v>4</v>
      </c>
      <c r="E74" s="35">
        <v>0</v>
      </c>
      <c r="F74" s="35">
        <v>25920000</v>
      </c>
      <c r="G74" s="35">
        <v>0</v>
      </c>
      <c r="H74" s="35">
        <v>0</v>
      </c>
    </row>
    <row r="75" spans="1:8" x14ac:dyDescent="0.65">
      <c r="A75" s="36">
        <v>5816</v>
      </c>
      <c r="B75" s="34" t="s">
        <v>92</v>
      </c>
      <c r="C75" s="39">
        <v>86</v>
      </c>
      <c r="D75" s="39">
        <v>4</v>
      </c>
      <c r="E75" s="35">
        <v>0</v>
      </c>
      <c r="F75" s="35">
        <v>6480000</v>
      </c>
      <c r="G75" s="35">
        <v>40000000</v>
      </c>
      <c r="H75" s="35">
        <v>0</v>
      </c>
    </row>
    <row r="76" spans="1:8" x14ac:dyDescent="0.65">
      <c r="A76" s="36">
        <v>5827</v>
      </c>
      <c r="B76" s="34" t="s">
        <v>95</v>
      </c>
      <c r="C76" s="39">
        <v>53</v>
      </c>
      <c r="D76" s="39">
        <v>4</v>
      </c>
      <c r="E76" s="35">
        <v>1500000</v>
      </c>
      <c r="F76" s="35">
        <v>0</v>
      </c>
      <c r="G76" s="35">
        <v>0</v>
      </c>
      <c r="H76" s="35">
        <v>0</v>
      </c>
    </row>
    <row r="77" spans="1:8" x14ac:dyDescent="0.65">
      <c r="A77" s="36">
        <v>5833</v>
      </c>
      <c r="B77" s="34" t="s">
        <v>98</v>
      </c>
      <c r="C77" s="39">
        <v>125</v>
      </c>
      <c r="D77" s="39">
        <v>4</v>
      </c>
      <c r="E77" s="35">
        <v>1500000</v>
      </c>
      <c r="F77" s="35">
        <v>0</v>
      </c>
      <c r="G77" s="35">
        <v>0</v>
      </c>
      <c r="H77" s="35">
        <v>0</v>
      </c>
    </row>
    <row r="78" spans="1:8" x14ac:dyDescent="0.65">
      <c r="A78" s="36">
        <v>5837</v>
      </c>
      <c r="B78" s="34" t="s">
        <v>100</v>
      </c>
      <c r="C78" s="39">
        <v>75</v>
      </c>
      <c r="D78" s="39">
        <v>4</v>
      </c>
      <c r="E78" s="35">
        <v>0</v>
      </c>
      <c r="F78" s="35">
        <v>6480000</v>
      </c>
      <c r="G78" s="35">
        <v>0</v>
      </c>
      <c r="H78" s="35">
        <v>0</v>
      </c>
    </row>
    <row r="79" spans="1:8" x14ac:dyDescent="0.65">
      <c r="A79" s="36">
        <v>5842</v>
      </c>
      <c r="B79" s="34" t="s">
        <v>101</v>
      </c>
      <c r="C79" s="39">
        <v>147</v>
      </c>
      <c r="D79" s="39">
        <v>4</v>
      </c>
      <c r="E79" s="35">
        <v>0</v>
      </c>
      <c r="F79" s="35">
        <v>12960000</v>
      </c>
      <c r="G79" s="35">
        <v>0</v>
      </c>
      <c r="H79" s="35">
        <v>0</v>
      </c>
    </row>
    <row r="80" spans="1:8" x14ac:dyDescent="0.65">
      <c r="A80" s="36">
        <v>5843</v>
      </c>
      <c r="B80" s="34" t="s">
        <v>102</v>
      </c>
      <c r="C80" s="39">
        <v>76</v>
      </c>
      <c r="D80" s="39">
        <v>4</v>
      </c>
      <c r="E80" s="35">
        <v>3000000</v>
      </c>
      <c r="F80" s="35">
        <v>12960000</v>
      </c>
      <c r="G80" s="35">
        <v>40000000</v>
      </c>
      <c r="H80" s="35">
        <v>0</v>
      </c>
    </row>
    <row r="81" spans="1:8" x14ac:dyDescent="0.65">
      <c r="A81" s="36">
        <v>5847</v>
      </c>
      <c r="B81" s="34" t="s">
        <v>103</v>
      </c>
      <c r="C81" s="39">
        <v>93</v>
      </c>
      <c r="D81" s="39">
        <v>4</v>
      </c>
      <c r="E81" s="35">
        <v>8974000</v>
      </c>
      <c r="F81" s="35">
        <v>32400000</v>
      </c>
      <c r="G81" s="35">
        <v>40000000</v>
      </c>
      <c r="H81" s="35">
        <v>0</v>
      </c>
    </row>
    <row r="82" spans="1:8" x14ac:dyDescent="0.65">
      <c r="A82" s="36">
        <v>5851</v>
      </c>
      <c r="B82" s="34" t="s">
        <v>105</v>
      </c>
      <c r="C82" s="39">
        <v>117</v>
      </c>
      <c r="D82" s="39">
        <v>4</v>
      </c>
      <c r="E82" s="35">
        <v>9000000</v>
      </c>
      <c r="F82" s="35">
        <v>0</v>
      </c>
      <c r="G82" s="35">
        <v>0</v>
      </c>
      <c r="H82" s="35">
        <v>0</v>
      </c>
    </row>
    <row r="83" spans="1:8" x14ac:dyDescent="0.65">
      <c r="A83" s="36">
        <v>5857</v>
      </c>
      <c r="B83" s="34" t="s">
        <v>106</v>
      </c>
      <c r="C83" s="39">
        <v>48</v>
      </c>
      <c r="D83" s="39">
        <v>4</v>
      </c>
      <c r="E83" s="35">
        <v>3000000</v>
      </c>
      <c r="F83" s="35">
        <v>6480000</v>
      </c>
      <c r="G83" s="35">
        <v>0</v>
      </c>
      <c r="H83" s="35">
        <v>0</v>
      </c>
    </row>
    <row r="84" spans="1:8" x14ac:dyDescent="0.65">
      <c r="A84" s="36">
        <v>5863</v>
      </c>
      <c r="B84" s="34" t="s">
        <v>107</v>
      </c>
      <c r="C84" s="39">
        <v>2</v>
      </c>
      <c r="D84" s="39">
        <v>4</v>
      </c>
      <c r="E84" s="35">
        <v>0</v>
      </c>
      <c r="F84" s="35">
        <v>25920000</v>
      </c>
      <c r="G84" s="35">
        <v>0</v>
      </c>
      <c r="H84" s="35">
        <v>0</v>
      </c>
    </row>
    <row r="85" spans="1:8" x14ac:dyDescent="0.65">
      <c r="A85" s="36">
        <v>5867</v>
      </c>
      <c r="B85" s="34" t="s">
        <v>108</v>
      </c>
      <c r="C85" s="39">
        <v>78</v>
      </c>
      <c r="D85" s="39">
        <v>4</v>
      </c>
      <c r="E85" s="35">
        <v>1500000</v>
      </c>
      <c r="F85" s="35">
        <v>6480000</v>
      </c>
      <c r="G85" s="35">
        <v>0</v>
      </c>
      <c r="H85" s="35">
        <v>0</v>
      </c>
    </row>
    <row r="86" spans="1:8" x14ac:dyDescent="0.65">
      <c r="A86" s="36">
        <v>5870</v>
      </c>
      <c r="B86" s="34" t="s">
        <v>109</v>
      </c>
      <c r="C86" s="39">
        <v>199</v>
      </c>
      <c r="D86" s="39">
        <v>4</v>
      </c>
      <c r="E86" s="35">
        <v>3000000</v>
      </c>
      <c r="F86" s="35">
        <v>6480000</v>
      </c>
      <c r="G86" s="35">
        <v>0</v>
      </c>
      <c r="H86" s="35">
        <v>0</v>
      </c>
    </row>
    <row r="87" spans="1:8" x14ac:dyDescent="0.65">
      <c r="A87" s="36">
        <v>5876</v>
      </c>
      <c r="B87" s="34" t="s">
        <v>110</v>
      </c>
      <c r="C87" s="39">
        <v>127</v>
      </c>
      <c r="D87" s="39">
        <v>4</v>
      </c>
      <c r="E87" s="35">
        <v>6000000</v>
      </c>
      <c r="F87" s="35">
        <v>0</v>
      </c>
      <c r="G87" s="35">
        <v>0</v>
      </c>
      <c r="H87" s="35">
        <v>0</v>
      </c>
    </row>
    <row r="88" spans="1:8" x14ac:dyDescent="0.65">
      <c r="A88" s="36">
        <v>5883</v>
      </c>
      <c r="B88" s="34" t="s">
        <v>111</v>
      </c>
      <c r="C88" s="39">
        <v>6</v>
      </c>
      <c r="D88" s="39">
        <v>4</v>
      </c>
      <c r="E88" s="35">
        <v>0</v>
      </c>
      <c r="F88" s="35">
        <v>38880000</v>
      </c>
      <c r="G88" s="35">
        <v>0</v>
      </c>
      <c r="H88" s="35">
        <v>21887016</v>
      </c>
    </row>
    <row r="89" spans="1:8" x14ac:dyDescent="0.65">
      <c r="A89" s="36">
        <v>5885</v>
      </c>
      <c r="B89" s="34" t="s">
        <v>112</v>
      </c>
      <c r="C89" s="39">
        <v>161</v>
      </c>
      <c r="D89" s="39">
        <v>4</v>
      </c>
      <c r="E89" s="35">
        <v>1500000</v>
      </c>
      <c r="F89" s="35">
        <v>12960000</v>
      </c>
      <c r="G89" s="35">
        <v>0</v>
      </c>
      <c r="H89" s="35">
        <v>0</v>
      </c>
    </row>
    <row r="90" spans="1:8" x14ac:dyDescent="0.65">
      <c r="A90" s="36">
        <v>5886</v>
      </c>
      <c r="B90" s="34" t="s">
        <v>113</v>
      </c>
      <c r="C90" s="39">
        <v>166</v>
      </c>
      <c r="D90" s="39">
        <v>4</v>
      </c>
      <c r="E90" s="35">
        <v>0</v>
      </c>
      <c r="F90" s="35">
        <v>6480000</v>
      </c>
      <c r="G90" s="35">
        <v>0</v>
      </c>
      <c r="H90" s="35">
        <v>0</v>
      </c>
    </row>
    <row r="91" spans="1:8" x14ac:dyDescent="0.65">
      <c r="A91" s="36">
        <v>5887</v>
      </c>
      <c r="B91" s="34" t="s">
        <v>114</v>
      </c>
      <c r="C91" s="39">
        <v>167</v>
      </c>
      <c r="D91" s="39">
        <v>4</v>
      </c>
      <c r="E91" s="35">
        <v>0</v>
      </c>
      <c r="F91" s="35">
        <v>6480000</v>
      </c>
      <c r="G91" s="35">
        <v>0</v>
      </c>
      <c r="H91" s="35">
        <v>0</v>
      </c>
    </row>
    <row r="92" spans="1:8" x14ac:dyDescent="0.65">
      <c r="A92" s="36">
        <v>5890</v>
      </c>
      <c r="B92" s="34" t="s">
        <v>116</v>
      </c>
      <c r="C92" s="39">
        <v>15</v>
      </c>
      <c r="D92" s="39">
        <v>4</v>
      </c>
      <c r="E92" s="35">
        <v>0</v>
      </c>
      <c r="F92" s="35">
        <v>19440000</v>
      </c>
      <c r="G92" s="35">
        <v>0</v>
      </c>
      <c r="H92" s="35">
        <v>0</v>
      </c>
    </row>
    <row r="93" spans="1:8" x14ac:dyDescent="0.65">
      <c r="A93" s="36">
        <v>5898</v>
      </c>
      <c r="B93" s="34" t="s">
        <v>117</v>
      </c>
      <c r="C93" s="39">
        <v>29</v>
      </c>
      <c r="D93" s="39">
        <v>4</v>
      </c>
      <c r="E93" s="35">
        <v>3844000</v>
      </c>
      <c r="F93" s="35">
        <v>25920000</v>
      </c>
      <c r="G93" s="35">
        <v>0</v>
      </c>
      <c r="H93" s="35">
        <v>0</v>
      </c>
    </row>
    <row r="94" spans="1:8" x14ac:dyDescent="0.65">
      <c r="A94" s="36">
        <v>5900</v>
      </c>
      <c r="B94" s="34" t="s">
        <v>118</v>
      </c>
      <c r="C94" s="39">
        <v>42</v>
      </c>
      <c r="D94" s="39">
        <v>4</v>
      </c>
      <c r="E94" s="35">
        <v>0</v>
      </c>
      <c r="F94" s="35">
        <v>6480000</v>
      </c>
      <c r="G94" s="35">
        <v>0</v>
      </c>
      <c r="H94" s="35">
        <v>0</v>
      </c>
    </row>
    <row r="95" spans="1:8" x14ac:dyDescent="0.65">
      <c r="A95" s="36">
        <v>5907</v>
      </c>
      <c r="B95" s="34" t="s">
        <v>123</v>
      </c>
      <c r="C95" s="39">
        <v>16</v>
      </c>
      <c r="D95" s="39">
        <v>4</v>
      </c>
      <c r="E95" s="35">
        <v>0</v>
      </c>
      <c r="F95" s="35">
        <v>64800000</v>
      </c>
      <c r="G95" s="35">
        <v>99999999</v>
      </c>
      <c r="H95" s="35">
        <v>0</v>
      </c>
    </row>
    <row r="96" spans="1:8" x14ac:dyDescent="0.65">
      <c r="A96" s="36">
        <v>5909</v>
      </c>
      <c r="B96" s="34" t="s">
        <v>124</v>
      </c>
      <c r="C96" s="39">
        <v>23</v>
      </c>
      <c r="D96" s="39">
        <v>4</v>
      </c>
      <c r="E96" s="35">
        <v>0</v>
      </c>
      <c r="F96" s="35">
        <v>19440000</v>
      </c>
      <c r="G96" s="35">
        <v>0</v>
      </c>
      <c r="H96" s="35">
        <v>0</v>
      </c>
    </row>
    <row r="97" spans="1:8" x14ac:dyDescent="0.65">
      <c r="A97" s="36">
        <v>5914</v>
      </c>
      <c r="B97" s="34" t="s">
        <v>125</v>
      </c>
      <c r="C97" s="39">
        <v>14</v>
      </c>
      <c r="D97" s="39">
        <v>4</v>
      </c>
      <c r="E97" s="35">
        <v>0</v>
      </c>
      <c r="F97" s="35">
        <v>0</v>
      </c>
      <c r="G97" s="35">
        <v>176000000</v>
      </c>
      <c r="H97" s="35">
        <v>0</v>
      </c>
    </row>
    <row r="98" spans="1:8" x14ac:dyDescent="0.65">
      <c r="A98" s="36">
        <v>5918</v>
      </c>
      <c r="B98" s="34" t="s">
        <v>126</v>
      </c>
      <c r="C98" s="39">
        <v>9</v>
      </c>
      <c r="D98" s="39">
        <v>4</v>
      </c>
      <c r="E98" s="35">
        <v>0</v>
      </c>
      <c r="F98" s="35">
        <v>12960000</v>
      </c>
      <c r="G98" s="35">
        <v>0</v>
      </c>
      <c r="H98" s="35">
        <v>0</v>
      </c>
    </row>
    <row r="99" spans="1:8" x14ac:dyDescent="0.65">
      <c r="A99" s="36">
        <v>5919</v>
      </c>
      <c r="B99" s="34" t="s">
        <v>127</v>
      </c>
      <c r="C99" s="39">
        <v>152</v>
      </c>
      <c r="D99" s="39">
        <v>4</v>
      </c>
      <c r="E99" s="35">
        <v>1500000</v>
      </c>
      <c r="F99" s="35">
        <v>25920000</v>
      </c>
      <c r="G99" s="35">
        <v>40000000</v>
      </c>
      <c r="H99" s="35">
        <v>0</v>
      </c>
    </row>
    <row r="100" spans="1:8" x14ac:dyDescent="0.65">
      <c r="A100" s="36">
        <v>5920</v>
      </c>
      <c r="B100" s="34" t="s">
        <v>128</v>
      </c>
      <c r="C100" s="39">
        <v>111</v>
      </c>
      <c r="D100" s="39">
        <v>4</v>
      </c>
      <c r="E100" s="35">
        <v>1500000</v>
      </c>
      <c r="F100" s="35">
        <v>6480000</v>
      </c>
      <c r="G100" s="35">
        <v>0</v>
      </c>
      <c r="H100" s="35">
        <v>0</v>
      </c>
    </row>
    <row r="101" spans="1:8" x14ac:dyDescent="0.65">
      <c r="A101" s="36">
        <v>5924</v>
      </c>
      <c r="B101" s="34" t="s">
        <v>130</v>
      </c>
      <c r="C101" s="39">
        <v>54</v>
      </c>
      <c r="D101" s="39">
        <v>4</v>
      </c>
      <c r="E101" s="35">
        <v>2721000</v>
      </c>
      <c r="F101" s="35">
        <v>12960000</v>
      </c>
      <c r="G101" s="35">
        <v>40000000</v>
      </c>
      <c r="H101" s="35">
        <v>0</v>
      </c>
    </row>
    <row r="102" spans="1:8" x14ac:dyDescent="0.65">
      <c r="A102" s="36">
        <v>5926</v>
      </c>
      <c r="B102" s="34" t="s">
        <v>131</v>
      </c>
      <c r="C102" s="39">
        <v>112</v>
      </c>
      <c r="D102" s="39">
        <v>4</v>
      </c>
      <c r="E102" s="35">
        <v>0</v>
      </c>
      <c r="F102" s="35">
        <v>25920000</v>
      </c>
      <c r="G102" s="35">
        <v>0</v>
      </c>
      <c r="H102" s="35">
        <v>0</v>
      </c>
    </row>
    <row r="103" spans="1:8" x14ac:dyDescent="0.65">
      <c r="A103" s="36">
        <v>5927</v>
      </c>
      <c r="B103" s="34" t="s">
        <v>132</v>
      </c>
      <c r="C103" s="39">
        <v>153</v>
      </c>
      <c r="D103" s="39">
        <v>4</v>
      </c>
      <c r="E103" s="35">
        <v>0</v>
      </c>
      <c r="F103" s="35">
        <v>6480000</v>
      </c>
      <c r="G103" s="35">
        <v>0</v>
      </c>
      <c r="H103" s="35">
        <v>0</v>
      </c>
    </row>
    <row r="104" spans="1:8" x14ac:dyDescent="0.65">
      <c r="A104" s="36">
        <v>5931</v>
      </c>
      <c r="B104" s="34" t="s">
        <v>133</v>
      </c>
      <c r="C104" s="39">
        <v>113</v>
      </c>
      <c r="D104" s="39">
        <v>4</v>
      </c>
      <c r="E104" s="35">
        <v>0</v>
      </c>
      <c r="F104" s="35">
        <v>25920000</v>
      </c>
      <c r="G104" s="35">
        <v>40000000</v>
      </c>
      <c r="H104" s="35">
        <v>0</v>
      </c>
    </row>
    <row r="105" spans="1:8" x14ac:dyDescent="0.65">
      <c r="A105" s="36">
        <v>5936</v>
      </c>
      <c r="B105" s="34" t="s">
        <v>134</v>
      </c>
      <c r="C105" s="39">
        <v>11</v>
      </c>
      <c r="D105" s="39">
        <v>4</v>
      </c>
      <c r="E105" s="35">
        <v>0</v>
      </c>
      <c r="F105" s="35">
        <v>25920000</v>
      </c>
      <c r="G105" s="35">
        <v>0</v>
      </c>
      <c r="H105" s="35">
        <v>0</v>
      </c>
    </row>
    <row r="106" spans="1:8" x14ac:dyDescent="0.65">
      <c r="A106" s="36">
        <v>5938</v>
      </c>
      <c r="B106" s="34" t="s">
        <v>135</v>
      </c>
      <c r="C106" s="39">
        <v>114</v>
      </c>
      <c r="D106" s="39">
        <v>4</v>
      </c>
      <c r="E106" s="35">
        <v>0</v>
      </c>
      <c r="F106" s="35">
        <v>6480000</v>
      </c>
      <c r="G106" s="35">
        <v>40000000</v>
      </c>
      <c r="H106" s="35">
        <v>0</v>
      </c>
    </row>
    <row r="107" spans="1:8" x14ac:dyDescent="0.65">
      <c r="A107" s="36">
        <v>5940</v>
      </c>
      <c r="B107" s="34" t="s">
        <v>136</v>
      </c>
      <c r="C107" s="39">
        <v>174</v>
      </c>
      <c r="D107" s="39">
        <v>4</v>
      </c>
      <c r="E107" s="35">
        <v>5588050</v>
      </c>
      <c r="F107" s="35">
        <v>6480000</v>
      </c>
      <c r="G107" s="35">
        <v>0</v>
      </c>
      <c r="H107" s="35">
        <v>0</v>
      </c>
    </row>
    <row r="108" spans="1:8" x14ac:dyDescent="0.65">
      <c r="A108" s="36">
        <v>5941</v>
      </c>
      <c r="B108" s="34" t="s">
        <v>137</v>
      </c>
      <c r="C108" s="39">
        <v>184</v>
      </c>
      <c r="D108" s="39">
        <v>4</v>
      </c>
      <c r="E108" s="35">
        <v>3000000</v>
      </c>
      <c r="F108" s="35">
        <v>6480000</v>
      </c>
      <c r="G108" s="35">
        <v>0</v>
      </c>
      <c r="H108" s="35">
        <v>0</v>
      </c>
    </row>
    <row r="109" spans="1:8" x14ac:dyDescent="0.65">
      <c r="A109" s="36">
        <v>5942</v>
      </c>
      <c r="B109" s="34" t="s">
        <v>138</v>
      </c>
      <c r="C109" s="39">
        <v>59</v>
      </c>
      <c r="D109" s="39">
        <v>4</v>
      </c>
      <c r="E109" s="35">
        <v>4500000</v>
      </c>
      <c r="F109" s="35">
        <v>6480000</v>
      </c>
      <c r="G109" s="35">
        <v>0</v>
      </c>
      <c r="H109" s="35">
        <v>0</v>
      </c>
    </row>
    <row r="110" spans="1:8" x14ac:dyDescent="0.65">
      <c r="A110" s="36">
        <v>5944</v>
      </c>
      <c r="B110" s="34" t="s">
        <v>139</v>
      </c>
      <c r="C110" s="39">
        <v>173</v>
      </c>
      <c r="D110" s="39">
        <v>4</v>
      </c>
      <c r="E110" s="35">
        <v>0</v>
      </c>
      <c r="F110" s="35">
        <v>19440000</v>
      </c>
      <c r="G110" s="35">
        <v>0</v>
      </c>
      <c r="H110" s="35">
        <v>0</v>
      </c>
    </row>
    <row r="111" spans="1:8" x14ac:dyDescent="0.65">
      <c r="A111" s="36">
        <v>5945</v>
      </c>
      <c r="B111" s="34" t="s">
        <v>140</v>
      </c>
      <c r="C111" s="39">
        <v>183</v>
      </c>
      <c r="D111" s="39">
        <v>4</v>
      </c>
      <c r="E111" s="35">
        <v>1500000</v>
      </c>
      <c r="F111" s="35">
        <v>0</v>
      </c>
      <c r="G111" s="35">
        <v>0</v>
      </c>
      <c r="H111" s="35">
        <v>0</v>
      </c>
    </row>
    <row r="112" spans="1:8" x14ac:dyDescent="0.65">
      <c r="A112" s="36">
        <v>5950</v>
      </c>
      <c r="B112" s="34" t="s">
        <v>141</v>
      </c>
      <c r="C112" s="39">
        <v>308</v>
      </c>
      <c r="D112" s="39">
        <v>4</v>
      </c>
      <c r="E112" s="35">
        <v>0</v>
      </c>
      <c r="F112" s="35">
        <v>25920000</v>
      </c>
      <c r="G112" s="35">
        <v>0</v>
      </c>
      <c r="H112" s="35">
        <v>0</v>
      </c>
    </row>
    <row r="113" spans="1:8" x14ac:dyDescent="0.65">
      <c r="A113" s="36">
        <v>5957</v>
      </c>
      <c r="B113" s="34" t="s">
        <v>142</v>
      </c>
      <c r="C113" s="39">
        <v>88</v>
      </c>
      <c r="D113" s="39">
        <v>4</v>
      </c>
      <c r="E113" s="35">
        <v>0</v>
      </c>
      <c r="F113" s="35">
        <v>6480000</v>
      </c>
      <c r="G113" s="35">
        <v>20000000</v>
      </c>
      <c r="H113" s="35">
        <v>0</v>
      </c>
    </row>
    <row r="114" spans="1:8" x14ac:dyDescent="0.65">
      <c r="A114" s="36">
        <v>5958</v>
      </c>
      <c r="B114" s="34" t="s">
        <v>143</v>
      </c>
      <c r="C114" s="39">
        <v>309</v>
      </c>
      <c r="D114" s="39">
        <v>4</v>
      </c>
      <c r="E114" s="35">
        <v>7500000</v>
      </c>
      <c r="F114" s="35">
        <v>0</v>
      </c>
      <c r="G114" s="35">
        <v>0</v>
      </c>
      <c r="H114" s="35">
        <v>0</v>
      </c>
    </row>
    <row r="115" spans="1:8" x14ac:dyDescent="0.65">
      <c r="A115" s="36">
        <v>5960</v>
      </c>
      <c r="B115" s="34" t="s">
        <v>144</v>
      </c>
      <c r="C115" s="39">
        <v>115</v>
      </c>
      <c r="D115" s="39">
        <v>4</v>
      </c>
      <c r="E115" s="35">
        <v>0</v>
      </c>
      <c r="F115" s="35">
        <v>25920000</v>
      </c>
      <c r="G115" s="35">
        <v>50000000</v>
      </c>
      <c r="H115" s="35">
        <v>0</v>
      </c>
    </row>
    <row r="116" spans="1:8" x14ac:dyDescent="0.65">
      <c r="A116" s="36">
        <v>5961</v>
      </c>
      <c r="B116" s="34" t="s">
        <v>145</v>
      </c>
      <c r="C116" s="39">
        <v>1</v>
      </c>
      <c r="D116" s="39">
        <v>4</v>
      </c>
      <c r="E116" s="35">
        <v>3813190</v>
      </c>
      <c r="F116" s="35">
        <v>25920000</v>
      </c>
      <c r="G116" s="35">
        <v>0</v>
      </c>
      <c r="H116" s="35">
        <v>0</v>
      </c>
    </row>
    <row r="117" spans="1:8" x14ac:dyDescent="0.65">
      <c r="A117" s="36">
        <v>5962</v>
      </c>
      <c r="B117" s="34" t="s">
        <v>146</v>
      </c>
      <c r="C117" s="39">
        <v>33</v>
      </c>
      <c r="D117" s="39">
        <v>4</v>
      </c>
      <c r="E117" s="35">
        <v>0</v>
      </c>
      <c r="F117" s="35">
        <v>12960000</v>
      </c>
      <c r="G117" s="35">
        <v>0</v>
      </c>
      <c r="H117" s="35">
        <v>0</v>
      </c>
    </row>
    <row r="118" spans="1:8" x14ac:dyDescent="0.65">
      <c r="A118" s="36">
        <v>5963</v>
      </c>
      <c r="B118" s="34" t="s">
        <v>217</v>
      </c>
      <c r="C118" s="39">
        <v>310</v>
      </c>
      <c r="D118" s="39">
        <v>4</v>
      </c>
      <c r="E118" s="35">
        <v>0</v>
      </c>
      <c r="F118" s="35">
        <v>0</v>
      </c>
      <c r="G118" s="35">
        <v>40000000</v>
      </c>
      <c r="H118" s="35">
        <v>0</v>
      </c>
    </row>
    <row r="119" spans="1:8" x14ac:dyDescent="0.65">
      <c r="A119" s="36">
        <v>5966</v>
      </c>
      <c r="B119" s="34" t="s">
        <v>147</v>
      </c>
      <c r="C119" s="39">
        <v>172</v>
      </c>
      <c r="D119" s="39">
        <v>4</v>
      </c>
      <c r="E119" s="35">
        <v>21945000</v>
      </c>
      <c r="F119" s="35">
        <v>12960000</v>
      </c>
      <c r="G119" s="35">
        <v>0</v>
      </c>
      <c r="H119" s="35">
        <v>0</v>
      </c>
    </row>
    <row r="120" spans="1:8" x14ac:dyDescent="0.65">
      <c r="A120" s="36">
        <v>5968</v>
      </c>
      <c r="B120" s="34" t="s">
        <v>149</v>
      </c>
      <c r="C120" s="39">
        <v>202</v>
      </c>
      <c r="D120" s="39">
        <v>4</v>
      </c>
      <c r="E120" s="35">
        <v>1500000</v>
      </c>
      <c r="F120" s="35">
        <v>19440000</v>
      </c>
      <c r="G120" s="35">
        <v>0</v>
      </c>
      <c r="H120" s="35">
        <v>0</v>
      </c>
    </row>
    <row r="121" spans="1:8" x14ac:dyDescent="0.65">
      <c r="A121" s="36">
        <v>5976</v>
      </c>
      <c r="B121" s="34" t="s">
        <v>150</v>
      </c>
      <c r="C121" s="39">
        <v>326</v>
      </c>
      <c r="D121" s="39">
        <v>4</v>
      </c>
      <c r="E121" s="35">
        <v>0</v>
      </c>
      <c r="F121" s="35">
        <v>19440000</v>
      </c>
      <c r="G121" s="35">
        <v>0</v>
      </c>
      <c r="H121" s="35">
        <v>0</v>
      </c>
    </row>
    <row r="122" spans="1:8" x14ac:dyDescent="0.65">
      <c r="A122" s="36">
        <v>5981</v>
      </c>
      <c r="B122" s="34" t="s">
        <v>222</v>
      </c>
      <c r="C122" s="39">
        <v>335</v>
      </c>
      <c r="D122" s="39">
        <v>4</v>
      </c>
      <c r="E122" s="35">
        <v>5589810</v>
      </c>
      <c r="F122" s="35">
        <v>0</v>
      </c>
      <c r="G122" s="35">
        <v>80000000</v>
      </c>
      <c r="H122" s="35">
        <v>0</v>
      </c>
    </row>
    <row r="123" spans="1:8" x14ac:dyDescent="0.65">
      <c r="A123" s="36">
        <v>5982</v>
      </c>
      <c r="B123" s="34" t="s">
        <v>151</v>
      </c>
      <c r="C123" s="39">
        <v>332</v>
      </c>
      <c r="D123" s="39">
        <v>4</v>
      </c>
      <c r="E123" s="35">
        <v>2798000</v>
      </c>
      <c r="F123" s="35">
        <v>0</v>
      </c>
      <c r="G123" s="35">
        <v>0</v>
      </c>
      <c r="H123" s="35">
        <v>0</v>
      </c>
    </row>
    <row r="124" spans="1:8" x14ac:dyDescent="0.65">
      <c r="A124" s="36">
        <v>5988</v>
      </c>
      <c r="B124" s="34" t="s">
        <v>152</v>
      </c>
      <c r="C124" s="39">
        <v>323</v>
      </c>
      <c r="D124" s="39">
        <v>4</v>
      </c>
      <c r="E124" s="35">
        <v>4000000</v>
      </c>
      <c r="F124" s="35">
        <v>32400000</v>
      </c>
      <c r="G124" s="35">
        <v>40000000</v>
      </c>
      <c r="H124" s="35">
        <v>0</v>
      </c>
    </row>
    <row r="125" spans="1:8" x14ac:dyDescent="0.65">
      <c r="A125" s="36">
        <v>5991</v>
      </c>
      <c r="B125" s="34" t="s">
        <v>153</v>
      </c>
      <c r="C125" s="39">
        <v>324</v>
      </c>
      <c r="D125" s="39">
        <v>4</v>
      </c>
      <c r="E125" s="35">
        <v>4500000</v>
      </c>
      <c r="F125" s="35">
        <v>19440000</v>
      </c>
      <c r="G125" s="35">
        <v>40000000</v>
      </c>
      <c r="H125" s="35">
        <v>0</v>
      </c>
    </row>
    <row r="126" spans="1:8" x14ac:dyDescent="0.65">
      <c r="A126" s="36">
        <v>5992</v>
      </c>
      <c r="B126" s="34" t="s">
        <v>154</v>
      </c>
      <c r="C126" s="39">
        <v>325</v>
      </c>
      <c r="D126" s="39">
        <v>4</v>
      </c>
      <c r="E126" s="35">
        <v>14060240</v>
      </c>
      <c r="F126" s="35">
        <v>19440000</v>
      </c>
      <c r="G126" s="35">
        <v>0</v>
      </c>
      <c r="H126" s="35">
        <v>0</v>
      </c>
    </row>
    <row r="127" spans="1:8" x14ac:dyDescent="0.65">
      <c r="A127" s="36">
        <v>5995</v>
      </c>
      <c r="B127" s="34" t="s">
        <v>155</v>
      </c>
      <c r="C127" s="39">
        <v>328</v>
      </c>
      <c r="D127" s="39">
        <v>4</v>
      </c>
      <c r="E127" s="35">
        <v>0</v>
      </c>
      <c r="F127" s="35">
        <v>6480000</v>
      </c>
      <c r="G127" s="35">
        <v>0</v>
      </c>
      <c r="H127" s="35">
        <v>0</v>
      </c>
    </row>
    <row r="128" spans="1:8" x14ac:dyDescent="0.65">
      <c r="A128" s="36">
        <v>6000</v>
      </c>
      <c r="B128" s="34" t="s">
        <v>157</v>
      </c>
      <c r="C128" s="39">
        <v>363</v>
      </c>
      <c r="D128" s="39">
        <v>4</v>
      </c>
      <c r="E128" s="35">
        <v>8975100</v>
      </c>
      <c r="F128" s="35">
        <v>0</v>
      </c>
      <c r="G128" s="35">
        <v>0</v>
      </c>
      <c r="H128" s="35">
        <v>0</v>
      </c>
    </row>
    <row r="129" spans="1:8" x14ac:dyDescent="0.65">
      <c r="A129" s="36">
        <v>6004</v>
      </c>
      <c r="B129" s="34" t="s">
        <v>158</v>
      </c>
      <c r="C129" s="39">
        <v>352</v>
      </c>
      <c r="D129" s="39">
        <v>4</v>
      </c>
      <c r="E129" s="35">
        <v>0</v>
      </c>
      <c r="F129" s="35">
        <v>25920000</v>
      </c>
      <c r="G129" s="35">
        <v>0</v>
      </c>
      <c r="H129" s="35">
        <v>0</v>
      </c>
    </row>
    <row r="130" spans="1:8" x14ac:dyDescent="0.65">
      <c r="A130" s="36">
        <v>6005</v>
      </c>
      <c r="B130" s="34" t="s">
        <v>228</v>
      </c>
      <c r="C130" s="39">
        <v>377</v>
      </c>
      <c r="D130" s="39">
        <v>4</v>
      </c>
      <c r="E130" s="35">
        <v>0</v>
      </c>
      <c r="F130" s="35">
        <v>0</v>
      </c>
      <c r="G130" s="35">
        <v>249999999</v>
      </c>
      <c r="H130" s="35">
        <v>0</v>
      </c>
    </row>
    <row r="131" spans="1:8" x14ac:dyDescent="0.65">
      <c r="A131" s="36">
        <v>6006</v>
      </c>
      <c r="B131" s="34" t="s">
        <v>159</v>
      </c>
      <c r="C131" s="39">
        <v>341</v>
      </c>
      <c r="D131" s="39">
        <v>4</v>
      </c>
      <c r="E131" s="35">
        <v>3000000</v>
      </c>
      <c r="F131" s="35">
        <v>6480000</v>
      </c>
      <c r="G131" s="35">
        <v>0</v>
      </c>
      <c r="H131" s="35">
        <v>0</v>
      </c>
    </row>
    <row r="132" spans="1:8" x14ac:dyDescent="0.65">
      <c r="A132" s="36">
        <v>6011</v>
      </c>
      <c r="B132" s="34" t="s">
        <v>160</v>
      </c>
      <c r="C132" s="39">
        <v>345</v>
      </c>
      <c r="D132" s="39">
        <v>4</v>
      </c>
      <c r="E132" s="35">
        <v>3000000</v>
      </c>
      <c r="F132" s="35">
        <v>0</v>
      </c>
      <c r="G132" s="35">
        <v>0</v>
      </c>
      <c r="H132" s="35">
        <v>0</v>
      </c>
    </row>
    <row r="133" spans="1:8" x14ac:dyDescent="0.65">
      <c r="A133" s="36">
        <v>6016</v>
      </c>
      <c r="B133" s="34" t="s">
        <v>163</v>
      </c>
      <c r="C133" s="39">
        <v>375</v>
      </c>
      <c r="D133" s="39">
        <v>4</v>
      </c>
      <c r="E133" s="35">
        <v>6482330</v>
      </c>
      <c r="F133" s="35">
        <v>0</v>
      </c>
      <c r="G133" s="35">
        <v>0</v>
      </c>
      <c r="H133" s="35">
        <v>0</v>
      </c>
    </row>
    <row r="134" spans="1:8" x14ac:dyDescent="0.65">
      <c r="A134" s="36">
        <v>6018</v>
      </c>
      <c r="B134" s="34" t="s">
        <v>165</v>
      </c>
      <c r="C134" s="39">
        <v>368</v>
      </c>
      <c r="D134" s="39">
        <v>4</v>
      </c>
      <c r="E134" s="35">
        <v>1500000</v>
      </c>
      <c r="F134" s="35">
        <v>19440000</v>
      </c>
      <c r="G134" s="35">
        <v>40000000</v>
      </c>
      <c r="H134" s="35">
        <v>0</v>
      </c>
    </row>
    <row r="135" spans="1:8" x14ac:dyDescent="0.65">
      <c r="A135" s="36">
        <v>6019</v>
      </c>
      <c r="B135" s="34" t="s">
        <v>166</v>
      </c>
      <c r="C135" s="39">
        <v>374</v>
      </c>
      <c r="D135" s="39">
        <v>4</v>
      </c>
      <c r="E135" s="35">
        <v>9000000</v>
      </c>
      <c r="F135" s="35">
        <v>0</v>
      </c>
      <c r="G135" s="35">
        <v>0</v>
      </c>
      <c r="H135" s="35">
        <v>0</v>
      </c>
    </row>
    <row r="136" spans="1:8" x14ac:dyDescent="0.65">
      <c r="A136" s="36">
        <v>6020</v>
      </c>
      <c r="B136" s="34" t="s">
        <v>167</v>
      </c>
      <c r="C136" s="39">
        <v>425</v>
      </c>
      <c r="D136" s="39">
        <v>4</v>
      </c>
      <c r="E136" s="35">
        <v>4500000</v>
      </c>
      <c r="F136" s="35">
        <v>0</v>
      </c>
      <c r="G136" s="35">
        <v>0</v>
      </c>
      <c r="H136" s="35">
        <v>13783502</v>
      </c>
    </row>
    <row r="137" spans="1:8" x14ac:dyDescent="0.65">
      <c r="A137" s="36">
        <v>6025</v>
      </c>
      <c r="B137" s="34" t="s">
        <v>169</v>
      </c>
      <c r="C137" s="39">
        <v>369</v>
      </c>
      <c r="D137" s="39">
        <v>4</v>
      </c>
      <c r="E137" s="35">
        <v>7203990</v>
      </c>
      <c r="F137" s="35">
        <v>0</v>
      </c>
      <c r="G137" s="35">
        <v>25000000</v>
      </c>
      <c r="H137" s="35">
        <v>0</v>
      </c>
    </row>
    <row r="138" spans="1:8" x14ac:dyDescent="0.65">
      <c r="A138" s="36">
        <v>6026</v>
      </c>
      <c r="B138" s="34" t="s">
        <v>170</v>
      </c>
      <c r="C138" s="39">
        <v>370</v>
      </c>
      <c r="D138" s="39">
        <v>4</v>
      </c>
      <c r="E138" s="35">
        <v>0</v>
      </c>
      <c r="F138" s="35">
        <v>6480000</v>
      </c>
      <c r="G138" s="35">
        <v>0</v>
      </c>
      <c r="H138" s="35">
        <v>0</v>
      </c>
    </row>
    <row r="139" spans="1:8" x14ac:dyDescent="0.65">
      <c r="A139" s="36">
        <v>6028</v>
      </c>
      <c r="B139" s="34" t="s">
        <v>171</v>
      </c>
      <c r="C139" s="39">
        <v>398</v>
      </c>
      <c r="D139" s="39">
        <v>4</v>
      </c>
      <c r="E139" s="35">
        <v>0</v>
      </c>
      <c r="F139" s="35">
        <v>12960000</v>
      </c>
      <c r="G139" s="35">
        <v>0</v>
      </c>
      <c r="H139" s="35">
        <v>0</v>
      </c>
    </row>
    <row r="140" spans="1:8" x14ac:dyDescent="0.65">
      <c r="A140" s="36">
        <v>6035</v>
      </c>
      <c r="B140" s="34" t="s">
        <v>173</v>
      </c>
      <c r="C140" s="39">
        <v>385</v>
      </c>
      <c r="D140" s="39">
        <v>4</v>
      </c>
      <c r="E140" s="35">
        <v>1500000</v>
      </c>
      <c r="F140" s="35">
        <v>0</v>
      </c>
      <c r="G140" s="35">
        <v>0</v>
      </c>
      <c r="H140" s="35">
        <v>0</v>
      </c>
    </row>
    <row r="141" spans="1:8" x14ac:dyDescent="0.65">
      <c r="A141" s="36">
        <v>6037</v>
      </c>
      <c r="B141" s="34" t="s">
        <v>174</v>
      </c>
      <c r="C141" s="39">
        <v>387</v>
      </c>
      <c r="D141" s="39">
        <v>4</v>
      </c>
      <c r="E141" s="35">
        <v>1700000</v>
      </c>
      <c r="F141" s="35">
        <v>25920000</v>
      </c>
      <c r="G141" s="35">
        <v>0</v>
      </c>
      <c r="H141" s="35">
        <v>0</v>
      </c>
    </row>
    <row r="142" spans="1:8" x14ac:dyDescent="0.65">
      <c r="A142" s="36">
        <v>6041</v>
      </c>
      <c r="B142" s="34" t="s">
        <v>175</v>
      </c>
      <c r="C142" s="39">
        <v>338</v>
      </c>
      <c r="D142" s="39">
        <v>4</v>
      </c>
      <c r="E142" s="35">
        <v>1429000</v>
      </c>
      <c r="F142" s="35">
        <v>25920000</v>
      </c>
      <c r="G142" s="35">
        <v>0</v>
      </c>
      <c r="H142" s="35">
        <v>0</v>
      </c>
    </row>
    <row r="143" spans="1:8" x14ac:dyDescent="0.65">
      <c r="A143" s="36">
        <v>6042</v>
      </c>
      <c r="B143" s="34" t="s">
        <v>176</v>
      </c>
      <c r="C143" s="39">
        <v>378</v>
      </c>
      <c r="D143" s="39">
        <v>4</v>
      </c>
      <c r="E143" s="35">
        <v>0</v>
      </c>
      <c r="F143" s="35">
        <v>6480000</v>
      </c>
      <c r="G143" s="35">
        <v>0</v>
      </c>
      <c r="H143" s="35">
        <v>0</v>
      </c>
    </row>
    <row r="144" spans="1:8" x14ac:dyDescent="0.65">
      <c r="A144" s="36">
        <v>6045</v>
      </c>
      <c r="B144" s="34" t="s">
        <v>178</v>
      </c>
      <c r="C144" s="39">
        <v>388</v>
      </c>
      <c r="D144" s="39">
        <v>4</v>
      </c>
      <c r="E144" s="35">
        <v>1500000</v>
      </c>
      <c r="F144" s="35">
        <v>12960000</v>
      </c>
      <c r="G144" s="35">
        <v>0</v>
      </c>
      <c r="H144" s="35">
        <v>0</v>
      </c>
    </row>
    <row r="145" spans="1:8" x14ac:dyDescent="0.65">
      <c r="A145" s="36">
        <v>6046</v>
      </c>
      <c r="B145" s="34" t="s">
        <v>179</v>
      </c>
      <c r="C145" s="39">
        <v>396</v>
      </c>
      <c r="D145" s="39">
        <v>4</v>
      </c>
      <c r="E145" s="35">
        <v>4500000</v>
      </c>
      <c r="F145" s="35">
        <v>0</v>
      </c>
      <c r="G145" s="35">
        <v>40000000</v>
      </c>
      <c r="H145" s="35">
        <v>0</v>
      </c>
    </row>
    <row r="146" spans="1:8" x14ac:dyDescent="0.65">
      <c r="A146" s="36">
        <v>6055</v>
      </c>
      <c r="B146" s="34" t="s">
        <v>180</v>
      </c>
      <c r="C146" s="39">
        <v>400</v>
      </c>
      <c r="D146" s="39">
        <v>4</v>
      </c>
      <c r="E146" s="35">
        <v>4500000</v>
      </c>
      <c r="F146" s="35">
        <v>6480000</v>
      </c>
      <c r="G146" s="35">
        <v>0</v>
      </c>
      <c r="H146" s="35">
        <v>0</v>
      </c>
    </row>
    <row r="147" spans="1:8" x14ac:dyDescent="0.65">
      <c r="A147" s="36">
        <v>6057</v>
      </c>
      <c r="B147" s="34" t="s">
        <v>181</v>
      </c>
      <c r="C147" s="39">
        <v>395</v>
      </c>
      <c r="D147" s="39">
        <v>4</v>
      </c>
      <c r="E147" s="35">
        <v>9000000</v>
      </c>
      <c r="F147" s="35">
        <v>0</v>
      </c>
      <c r="G147" s="35">
        <v>20000000</v>
      </c>
      <c r="H147" s="35">
        <v>0</v>
      </c>
    </row>
    <row r="148" spans="1:8" x14ac:dyDescent="0.65">
      <c r="A148" s="36">
        <v>6059</v>
      </c>
      <c r="B148" s="34" t="s">
        <v>182</v>
      </c>
      <c r="C148" s="39">
        <v>201</v>
      </c>
      <c r="D148" s="39">
        <v>4</v>
      </c>
      <c r="E148" s="35">
        <v>4111000</v>
      </c>
      <c r="F148" s="35">
        <v>0</v>
      </c>
      <c r="G148" s="35">
        <v>0</v>
      </c>
      <c r="H148" s="35">
        <v>25400739</v>
      </c>
    </row>
    <row r="149" spans="1:8" x14ac:dyDescent="0.65">
      <c r="A149" s="36">
        <v>6061</v>
      </c>
      <c r="B149" s="34" t="s">
        <v>183</v>
      </c>
      <c r="C149" s="39">
        <v>407</v>
      </c>
      <c r="D149" s="39">
        <v>4</v>
      </c>
      <c r="E149" s="35">
        <v>794120</v>
      </c>
      <c r="F149" s="35">
        <v>0</v>
      </c>
      <c r="G149" s="35">
        <v>0</v>
      </c>
      <c r="H149" s="35">
        <v>0</v>
      </c>
    </row>
    <row r="150" spans="1:8" x14ac:dyDescent="0.65">
      <c r="A150" s="36">
        <v>6064</v>
      </c>
      <c r="B150" s="34" t="s">
        <v>184</v>
      </c>
      <c r="C150" s="39">
        <v>412</v>
      </c>
      <c r="D150" s="39">
        <v>4</v>
      </c>
      <c r="E150" s="35">
        <v>3119000</v>
      </c>
      <c r="F150" s="35">
        <v>12960000</v>
      </c>
      <c r="G150" s="35">
        <v>0</v>
      </c>
      <c r="H150" s="35">
        <v>0</v>
      </c>
    </row>
    <row r="151" spans="1:8" x14ac:dyDescent="0.65">
      <c r="A151" s="36">
        <v>6069</v>
      </c>
      <c r="B151" s="34" t="s">
        <v>185</v>
      </c>
      <c r="C151" s="39">
        <v>418</v>
      </c>
      <c r="D151" s="39">
        <v>4</v>
      </c>
      <c r="E151" s="35">
        <v>5688000</v>
      </c>
      <c r="F151" s="35">
        <v>12960000</v>
      </c>
      <c r="G151" s="35">
        <v>0</v>
      </c>
      <c r="H151" s="35">
        <v>0</v>
      </c>
    </row>
    <row r="152" spans="1:8" x14ac:dyDescent="0.65">
      <c r="A152" s="36">
        <v>6072</v>
      </c>
      <c r="B152" s="34" t="s">
        <v>186</v>
      </c>
      <c r="C152" s="39">
        <v>426</v>
      </c>
      <c r="D152" s="39">
        <v>4</v>
      </c>
      <c r="E152" s="35">
        <v>10689180</v>
      </c>
      <c r="F152" s="35">
        <v>0</v>
      </c>
      <c r="G152" s="35">
        <v>0</v>
      </c>
      <c r="H152" s="35">
        <v>0</v>
      </c>
    </row>
    <row r="153" spans="1:8" x14ac:dyDescent="0.65">
      <c r="A153" s="36">
        <v>6079</v>
      </c>
      <c r="B153" s="34" t="s">
        <v>189</v>
      </c>
      <c r="C153" s="39">
        <v>433</v>
      </c>
      <c r="D153" s="39">
        <v>4</v>
      </c>
      <c r="E153" s="35">
        <v>0</v>
      </c>
      <c r="F153" s="35">
        <v>19440000</v>
      </c>
      <c r="G153" s="35">
        <v>0</v>
      </c>
      <c r="H153" s="35">
        <v>0</v>
      </c>
    </row>
    <row r="154" spans="1:8" x14ac:dyDescent="0.65">
      <c r="A154" s="36">
        <v>6084</v>
      </c>
      <c r="B154" s="34" t="s">
        <v>190</v>
      </c>
      <c r="C154" s="39">
        <v>416</v>
      </c>
      <c r="D154" s="39">
        <v>4</v>
      </c>
      <c r="E154" s="35">
        <v>3000000</v>
      </c>
      <c r="F154" s="35">
        <v>12960000</v>
      </c>
      <c r="G154" s="35">
        <v>0</v>
      </c>
      <c r="H154" s="35">
        <v>0</v>
      </c>
    </row>
    <row r="155" spans="1:8" x14ac:dyDescent="0.65">
      <c r="A155" s="36">
        <v>6087</v>
      </c>
      <c r="B155" s="34" t="s">
        <v>191</v>
      </c>
      <c r="C155" s="39">
        <v>443</v>
      </c>
      <c r="D155" s="39">
        <v>4</v>
      </c>
      <c r="E155" s="35">
        <v>1500000</v>
      </c>
      <c r="F155" s="35">
        <v>19440000</v>
      </c>
      <c r="G155" s="35">
        <v>0</v>
      </c>
      <c r="H155" s="35">
        <v>0</v>
      </c>
    </row>
    <row r="156" spans="1:8" x14ac:dyDescent="0.65">
      <c r="A156" s="36">
        <v>6089</v>
      </c>
      <c r="B156" s="34" t="s">
        <v>193</v>
      </c>
      <c r="C156" s="39">
        <v>440</v>
      </c>
      <c r="D156" s="39">
        <v>4</v>
      </c>
      <c r="E156" s="35">
        <v>816000</v>
      </c>
      <c r="F156" s="35">
        <v>32400000</v>
      </c>
      <c r="G156" s="35">
        <v>0</v>
      </c>
      <c r="H156" s="35">
        <v>724350</v>
      </c>
    </row>
    <row r="157" spans="1:8" x14ac:dyDescent="0.65">
      <c r="A157" s="36">
        <v>6092</v>
      </c>
      <c r="B157" s="34" t="s">
        <v>194</v>
      </c>
      <c r="C157" s="39">
        <v>445</v>
      </c>
      <c r="D157" s="39">
        <v>4</v>
      </c>
      <c r="E157" s="35">
        <v>1500000</v>
      </c>
      <c r="F157" s="35">
        <v>6480000</v>
      </c>
      <c r="G157" s="35">
        <v>0</v>
      </c>
      <c r="H157" s="35">
        <v>0</v>
      </c>
    </row>
    <row r="158" spans="1:8" x14ac:dyDescent="0.65">
      <c r="A158" s="36">
        <v>6093</v>
      </c>
      <c r="B158" s="34" t="s">
        <v>195</v>
      </c>
      <c r="C158" s="39">
        <v>447</v>
      </c>
      <c r="D158" s="39">
        <v>4</v>
      </c>
      <c r="E158" s="35">
        <v>0</v>
      </c>
      <c r="F158" s="35">
        <v>25920000</v>
      </c>
      <c r="G158" s="35">
        <v>0</v>
      </c>
      <c r="H158" s="35">
        <v>0</v>
      </c>
    </row>
    <row r="159" spans="1:8" x14ac:dyDescent="0.65">
      <c r="A159" s="36">
        <v>6094</v>
      </c>
      <c r="B159" s="34" t="s">
        <v>196</v>
      </c>
      <c r="C159" s="39">
        <v>448</v>
      </c>
      <c r="D159" s="39">
        <v>4</v>
      </c>
      <c r="E159" s="35">
        <v>4500000</v>
      </c>
      <c r="F159" s="35">
        <v>0</v>
      </c>
      <c r="G159" s="35">
        <v>0</v>
      </c>
      <c r="H159" s="35">
        <v>0</v>
      </c>
    </row>
    <row r="160" spans="1:8" x14ac:dyDescent="0.65">
      <c r="A160" s="36">
        <v>6098</v>
      </c>
      <c r="B160" s="34" t="s">
        <v>198</v>
      </c>
      <c r="C160" s="39">
        <v>444</v>
      </c>
      <c r="D160" s="39">
        <v>4</v>
      </c>
      <c r="E160" s="35">
        <v>1500000</v>
      </c>
      <c r="F160" s="35">
        <v>0</v>
      </c>
      <c r="G160" s="35">
        <v>0</v>
      </c>
      <c r="H160" s="35">
        <v>0</v>
      </c>
    </row>
    <row r="161" spans="1:8" x14ac:dyDescent="0.65">
      <c r="A161" s="36">
        <v>6101</v>
      </c>
      <c r="B161" s="34" t="s">
        <v>236</v>
      </c>
      <c r="C161" s="39">
        <v>462</v>
      </c>
      <c r="D161" s="39">
        <v>4</v>
      </c>
      <c r="E161" s="35">
        <v>1500000</v>
      </c>
      <c r="F161" s="35">
        <v>0</v>
      </c>
      <c r="G161" s="35">
        <v>0</v>
      </c>
      <c r="H161" s="35">
        <v>0</v>
      </c>
    </row>
    <row r="162" spans="1:8" x14ac:dyDescent="0.65">
      <c r="A162" s="36">
        <v>6447</v>
      </c>
      <c r="B162" s="34" t="s">
        <v>204</v>
      </c>
      <c r="C162" s="39">
        <v>91</v>
      </c>
      <c r="D162" s="39">
        <v>4</v>
      </c>
      <c r="E162" s="35">
        <v>0</v>
      </c>
      <c r="F162" s="35">
        <v>19440000</v>
      </c>
      <c r="G162" s="35">
        <v>0</v>
      </c>
      <c r="H162" s="35">
        <v>0</v>
      </c>
    </row>
    <row r="163" spans="1:8" x14ac:dyDescent="0.65">
      <c r="A163" s="36">
        <v>9015</v>
      </c>
      <c r="B163" s="34" t="s">
        <v>205</v>
      </c>
      <c r="C163" s="39">
        <v>4</v>
      </c>
      <c r="D163" s="39">
        <v>4</v>
      </c>
      <c r="E163" s="35">
        <v>0</v>
      </c>
      <c r="F163" s="35">
        <v>6480000</v>
      </c>
      <c r="G163" s="35">
        <v>0</v>
      </c>
      <c r="H163" s="35">
        <v>0</v>
      </c>
    </row>
    <row r="164" spans="1:8" x14ac:dyDescent="0.65">
      <c r="A164" s="34">
        <v>6099</v>
      </c>
      <c r="B164" s="34" t="s">
        <v>199</v>
      </c>
      <c r="C164" s="39">
        <v>468</v>
      </c>
      <c r="D164" s="39">
        <v>4</v>
      </c>
      <c r="E164" s="35">
        <v>0</v>
      </c>
      <c r="F164" s="35">
        <v>38880000</v>
      </c>
      <c r="G164" s="35">
        <v>0</v>
      </c>
      <c r="H164" s="35">
        <v>0</v>
      </c>
    </row>
    <row r="165" spans="1:8" x14ac:dyDescent="0.65">
      <c r="A165" s="34">
        <v>6102</v>
      </c>
      <c r="B165" s="34" t="s">
        <v>200</v>
      </c>
      <c r="C165" s="39">
        <v>459</v>
      </c>
      <c r="D165" s="39">
        <v>4</v>
      </c>
      <c r="E165" s="35">
        <v>0</v>
      </c>
      <c r="F165" s="35">
        <v>51840000</v>
      </c>
      <c r="G165" s="35">
        <v>0</v>
      </c>
      <c r="H165" s="35">
        <v>0</v>
      </c>
    </row>
    <row r="166" spans="1:8" x14ac:dyDescent="0.65">
      <c r="A166" s="34">
        <v>6113</v>
      </c>
      <c r="B166" s="34" t="s">
        <v>240</v>
      </c>
      <c r="C166" s="39">
        <v>488</v>
      </c>
      <c r="D166" s="39">
        <v>4</v>
      </c>
      <c r="E166" s="35">
        <v>0</v>
      </c>
      <c r="F166" s="35">
        <v>25920000</v>
      </c>
      <c r="G166" s="35">
        <v>0</v>
      </c>
      <c r="H166" s="35">
        <v>0</v>
      </c>
    </row>
    <row r="167" spans="1:8" x14ac:dyDescent="0.65">
      <c r="A167" s="34">
        <v>6114</v>
      </c>
      <c r="B167" s="34" t="s">
        <v>241</v>
      </c>
      <c r="C167" s="39">
        <v>467</v>
      </c>
      <c r="D167" s="39">
        <v>4</v>
      </c>
      <c r="E167" s="35">
        <v>0</v>
      </c>
      <c r="F167" s="35">
        <v>38880000</v>
      </c>
      <c r="G167" s="35">
        <v>0</v>
      </c>
      <c r="H167" s="35">
        <v>0</v>
      </c>
    </row>
  </sheetData>
  <autoFilter ref="A1:H167" xr:uid="{D3BBD13C-9049-420D-931D-9CBAAC22374F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FB1E-2236-4194-ADD6-A3DFAEC6E49C}">
  <dimension ref="A1:H172"/>
  <sheetViews>
    <sheetView rightToLeft="1" workbookViewId="0">
      <pane ySplit="1" topLeftCell="A2" activePane="bottomLeft" state="frozen"/>
      <selection pane="bottomLeft" sqref="A1:XFD1048576"/>
    </sheetView>
  </sheetViews>
  <sheetFormatPr defaultRowHeight="22.5" x14ac:dyDescent="0.65"/>
  <cols>
    <col min="1" max="1" width="7.75" style="47" bestFit="1" customWidth="1"/>
    <col min="2" max="2" width="24.25" style="47" bestFit="1" customWidth="1"/>
    <col min="3" max="3" width="8.375" style="47" bestFit="1" customWidth="1"/>
    <col min="4" max="4" width="2.625" style="47" bestFit="1" customWidth="1"/>
    <col min="5" max="5" width="12.375" style="47" bestFit="1" customWidth="1"/>
    <col min="6" max="6" width="10.375" style="47" bestFit="1" customWidth="1"/>
    <col min="7" max="7" width="15.25" style="47" bestFit="1" customWidth="1"/>
    <col min="8" max="8" width="7.75" style="47" bestFit="1" customWidth="1"/>
    <col min="9" max="16384" width="9" style="21"/>
  </cols>
  <sheetData>
    <row r="1" spans="1:8" x14ac:dyDescent="0.65">
      <c r="A1" s="48" t="s">
        <v>0</v>
      </c>
      <c r="B1" s="48" t="s">
        <v>1</v>
      </c>
      <c r="C1" s="48" t="s">
        <v>248</v>
      </c>
      <c r="D1" s="48" t="s">
        <v>206</v>
      </c>
      <c r="E1" s="48" t="s">
        <v>209</v>
      </c>
      <c r="F1" s="48" t="s">
        <v>207</v>
      </c>
      <c r="G1" s="48" t="s">
        <v>208</v>
      </c>
      <c r="H1" s="38" t="s">
        <v>247</v>
      </c>
    </row>
    <row r="2" spans="1:8" x14ac:dyDescent="0.65">
      <c r="A2" s="36">
        <v>3607</v>
      </c>
      <c r="B2" s="48" t="s">
        <v>4</v>
      </c>
      <c r="C2" s="48">
        <v>119</v>
      </c>
      <c r="D2" s="48">
        <v>5</v>
      </c>
      <c r="E2" s="49">
        <v>32400000</v>
      </c>
      <c r="F2" s="48">
        <v>0</v>
      </c>
      <c r="G2" s="48">
        <v>0</v>
      </c>
      <c r="H2" s="48">
        <v>0</v>
      </c>
    </row>
    <row r="3" spans="1:8" x14ac:dyDescent="0.65">
      <c r="A3" s="36">
        <v>3653</v>
      </c>
      <c r="B3" s="48" t="s">
        <v>5</v>
      </c>
      <c r="C3" s="48">
        <v>34</v>
      </c>
      <c r="D3" s="48">
        <v>5</v>
      </c>
      <c r="E3" s="49">
        <v>32400000</v>
      </c>
      <c r="F3" s="48">
        <v>0</v>
      </c>
      <c r="G3" s="48">
        <v>0</v>
      </c>
      <c r="H3" s="48">
        <v>0</v>
      </c>
    </row>
    <row r="4" spans="1:8" x14ac:dyDescent="0.65">
      <c r="A4" s="36">
        <v>4597</v>
      </c>
      <c r="B4" s="48" t="s">
        <v>7</v>
      </c>
      <c r="C4" s="48">
        <v>38</v>
      </c>
      <c r="D4" s="48">
        <v>5</v>
      </c>
      <c r="E4" s="49">
        <v>25920000</v>
      </c>
      <c r="F4" s="48">
        <v>0</v>
      </c>
      <c r="G4" s="48">
        <v>0</v>
      </c>
      <c r="H4" s="48">
        <v>1586960</v>
      </c>
    </row>
    <row r="5" spans="1:8" x14ac:dyDescent="0.65">
      <c r="A5" s="36">
        <v>4598</v>
      </c>
      <c r="B5" s="48" t="s">
        <v>8</v>
      </c>
      <c r="C5" s="48">
        <v>129</v>
      </c>
      <c r="D5" s="48">
        <v>5</v>
      </c>
      <c r="E5" s="49">
        <v>25920000</v>
      </c>
      <c r="F5" s="49">
        <v>40000000</v>
      </c>
      <c r="G5" s="48">
        <v>0</v>
      </c>
      <c r="H5" s="48">
        <v>4500000</v>
      </c>
    </row>
    <row r="6" spans="1:8" x14ac:dyDescent="0.65">
      <c r="A6" s="36">
        <v>4614</v>
      </c>
      <c r="B6" s="48" t="s">
        <v>9</v>
      </c>
      <c r="C6" s="48">
        <v>140</v>
      </c>
      <c r="D6" s="48">
        <v>5</v>
      </c>
      <c r="E6" s="49">
        <v>19440000</v>
      </c>
      <c r="F6" s="48">
        <v>0</v>
      </c>
      <c r="G6" s="48">
        <v>0</v>
      </c>
      <c r="H6" s="48">
        <v>1500000</v>
      </c>
    </row>
    <row r="7" spans="1:8" x14ac:dyDescent="0.65">
      <c r="A7" s="36">
        <v>4621</v>
      </c>
      <c r="B7" s="48" t="s">
        <v>10</v>
      </c>
      <c r="C7" s="48">
        <v>139</v>
      </c>
      <c r="D7" s="48">
        <v>5</v>
      </c>
      <c r="E7" s="48">
        <v>0</v>
      </c>
      <c r="F7" s="49">
        <v>13285793</v>
      </c>
      <c r="G7" s="48">
        <v>0</v>
      </c>
      <c r="H7" s="48">
        <v>0</v>
      </c>
    </row>
    <row r="8" spans="1:8" x14ac:dyDescent="0.65">
      <c r="A8" s="36">
        <v>4622</v>
      </c>
      <c r="B8" s="48" t="s">
        <v>11</v>
      </c>
      <c r="C8" s="48">
        <v>35</v>
      </c>
      <c r="D8" s="48">
        <v>5</v>
      </c>
      <c r="E8" s="49">
        <v>25920000</v>
      </c>
      <c r="F8" s="48">
        <v>0</v>
      </c>
      <c r="G8" s="48">
        <v>0</v>
      </c>
      <c r="H8" s="48">
        <v>6678000</v>
      </c>
    </row>
    <row r="9" spans="1:8" x14ac:dyDescent="0.65">
      <c r="A9" s="36">
        <v>4636</v>
      </c>
      <c r="B9" s="48" t="s">
        <v>12</v>
      </c>
      <c r="C9" s="48">
        <v>62</v>
      </c>
      <c r="D9" s="48">
        <v>5</v>
      </c>
      <c r="E9" s="49">
        <v>32400000</v>
      </c>
      <c r="F9" s="48">
        <v>0</v>
      </c>
      <c r="G9" s="48">
        <v>0</v>
      </c>
      <c r="H9" s="48">
        <v>0</v>
      </c>
    </row>
    <row r="10" spans="1:8" x14ac:dyDescent="0.65">
      <c r="A10" s="36">
        <v>4648</v>
      </c>
      <c r="B10" s="48" t="s">
        <v>15</v>
      </c>
      <c r="C10" s="48">
        <v>160</v>
      </c>
      <c r="D10" s="48">
        <v>5</v>
      </c>
      <c r="E10" s="49">
        <v>19440000</v>
      </c>
      <c r="F10" s="48">
        <v>0</v>
      </c>
      <c r="G10" s="48">
        <v>0</v>
      </c>
      <c r="H10" s="48">
        <v>0</v>
      </c>
    </row>
    <row r="11" spans="1:8" x14ac:dyDescent="0.65">
      <c r="A11" s="36">
        <v>4651</v>
      </c>
      <c r="B11" s="48" t="s">
        <v>16</v>
      </c>
      <c r="C11" s="48">
        <v>52</v>
      </c>
      <c r="D11" s="48">
        <v>5</v>
      </c>
      <c r="E11" s="49">
        <v>19440000</v>
      </c>
      <c r="F11" s="48">
        <v>0</v>
      </c>
      <c r="G11" s="48">
        <v>0</v>
      </c>
      <c r="H11" s="48">
        <v>2677400</v>
      </c>
    </row>
    <row r="12" spans="1:8" x14ac:dyDescent="0.65">
      <c r="A12" s="36">
        <v>4654</v>
      </c>
      <c r="B12" s="48" t="s">
        <v>18</v>
      </c>
      <c r="C12" s="48">
        <v>85</v>
      </c>
      <c r="D12" s="48">
        <v>5</v>
      </c>
      <c r="E12" s="49">
        <v>19440000</v>
      </c>
      <c r="F12" s="49">
        <v>40000000</v>
      </c>
      <c r="G12" s="48">
        <v>0</v>
      </c>
      <c r="H12" s="48">
        <v>0</v>
      </c>
    </row>
    <row r="13" spans="1:8" x14ac:dyDescent="0.65">
      <c r="A13" s="36">
        <v>4655</v>
      </c>
      <c r="B13" s="48" t="s">
        <v>19</v>
      </c>
      <c r="C13" s="48">
        <v>122</v>
      </c>
      <c r="D13" s="48">
        <v>5</v>
      </c>
      <c r="E13" s="49">
        <v>12960000</v>
      </c>
      <c r="F13" s="49">
        <v>50000000</v>
      </c>
      <c r="G13" s="48">
        <v>0</v>
      </c>
      <c r="H13" s="48">
        <v>1500000</v>
      </c>
    </row>
    <row r="14" spans="1:8" x14ac:dyDescent="0.65">
      <c r="A14" s="36">
        <v>4656</v>
      </c>
      <c r="B14" s="48" t="s">
        <v>20</v>
      </c>
      <c r="C14" s="48">
        <v>39</v>
      </c>
      <c r="D14" s="48">
        <v>5</v>
      </c>
      <c r="E14" s="49">
        <v>32400000</v>
      </c>
      <c r="F14" s="48">
        <v>0</v>
      </c>
      <c r="G14" s="48">
        <v>0</v>
      </c>
      <c r="H14" s="48">
        <v>0</v>
      </c>
    </row>
    <row r="15" spans="1:8" x14ac:dyDescent="0.65">
      <c r="A15" s="36">
        <v>4657</v>
      </c>
      <c r="B15" s="48" t="s">
        <v>21</v>
      </c>
      <c r="C15" s="48">
        <v>71</v>
      </c>
      <c r="D15" s="48">
        <v>5</v>
      </c>
      <c r="E15" s="49">
        <v>25920000</v>
      </c>
      <c r="F15" s="49">
        <v>40000000</v>
      </c>
      <c r="G15" s="48">
        <v>0</v>
      </c>
      <c r="H15" s="48">
        <v>0</v>
      </c>
    </row>
    <row r="16" spans="1:8" x14ac:dyDescent="0.65">
      <c r="A16" s="36">
        <v>4658</v>
      </c>
      <c r="B16" s="48" t="s">
        <v>22</v>
      </c>
      <c r="C16" s="48">
        <v>67</v>
      </c>
      <c r="D16" s="48">
        <v>5</v>
      </c>
      <c r="E16" s="49">
        <v>19440000</v>
      </c>
      <c r="F16" s="48">
        <v>0</v>
      </c>
      <c r="G16" s="48">
        <v>0</v>
      </c>
      <c r="H16" s="48">
        <v>0</v>
      </c>
    </row>
    <row r="17" spans="1:8" x14ac:dyDescent="0.65">
      <c r="A17" s="36">
        <v>4660</v>
      </c>
      <c r="B17" s="48" t="s">
        <v>23</v>
      </c>
      <c r="C17" s="48">
        <v>72</v>
      </c>
      <c r="D17" s="48">
        <v>5</v>
      </c>
      <c r="E17" s="49">
        <v>25920000</v>
      </c>
      <c r="F17" s="49">
        <v>40000000</v>
      </c>
      <c r="G17" s="48">
        <v>0</v>
      </c>
      <c r="H17" s="48">
        <v>0</v>
      </c>
    </row>
    <row r="18" spans="1:8" x14ac:dyDescent="0.65">
      <c r="A18" s="36">
        <v>4661</v>
      </c>
      <c r="B18" s="48" t="s">
        <v>24</v>
      </c>
      <c r="C18" s="48">
        <v>63</v>
      </c>
      <c r="D18" s="48">
        <v>5</v>
      </c>
      <c r="E18" s="49">
        <v>25920000</v>
      </c>
      <c r="F18" s="48">
        <v>0</v>
      </c>
      <c r="G18" s="48">
        <v>0</v>
      </c>
      <c r="H18" s="48">
        <v>3000000</v>
      </c>
    </row>
    <row r="19" spans="1:8" x14ac:dyDescent="0.65">
      <c r="A19" s="36">
        <v>4663</v>
      </c>
      <c r="B19" s="48" t="s">
        <v>25</v>
      </c>
      <c r="C19" s="48">
        <v>70</v>
      </c>
      <c r="D19" s="48">
        <v>5</v>
      </c>
      <c r="E19" s="49">
        <v>51840000</v>
      </c>
      <c r="F19" s="48">
        <v>0</v>
      </c>
      <c r="G19" s="48">
        <v>0</v>
      </c>
      <c r="H19" s="48">
        <v>2766210</v>
      </c>
    </row>
    <row r="20" spans="1:8" x14ac:dyDescent="0.65">
      <c r="A20" s="36">
        <v>4664</v>
      </c>
      <c r="B20" s="48" t="s">
        <v>26</v>
      </c>
      <c r="C20" s="48">
        <v>65</v>
      </c>
      <c r="D20" s="48">
        <v>5</v>
      </c>
      <c r="E20" s="49">
        <v>25920000</v>
      </c>
      <c r="F20" s="48">
        <v>0</v>
      </c>
      <c r="G20" s="48">
        <v>0</v>
      </c>
      <c r="H20" s="48">
        <v>0</v>
      </c>
    </row>
    <row r="21" spans="1:8" x14ac:dyDescent="0.65">
      <c r="A21" s="36">
        <v>4665</v>
      </c>
      <c r="B21" s="48" t="s">
        <v>27</v>
      </c>
      <c r="C21" s="48">
        <v>64</v>
      </c>
      <c r="D21" s="48">
        <v>5</v>
      </c>
      <c r="E21" s="48">
        <v>0</v>
      </c>
      <c r="F21" s="49">
        <v>40000000</v>
      </c>
      <c r="G21" s="48">
        <v>0</v>
      </c>
      <c r="H21" s="48">
        <v>1500000</v>
      </c>
    </row>
    <row r="22" spans="1:8" x14ac:dyDescent="0.65">
      <c r="A22" s="36">
        <v>4666</v>
      </c>
      <c r="B22" s="48" t="s">
        <v>28</v>
      </c>
      <c r="C22" s="48">
        <v>69</v>
      </c>
      <c r="D22" s="48">
        <v>5</v>
      </c>
      <c r="E22" s="49">
        <v>19440000</v>
      </c>
      <c r="F22" s="49">
        <v>80000000</v>
      </c>
      <c r="G22" s="48">
        <v>0</v>
      </c>
      <c r="H22" s="48">
        <v>0</v>
      </c>
    </row>
    <row r="23" spans="1:8" x14ac:dyDescent="0.65">
      <c r="A23" s="36">
        <v>4668</v>
      </c>
      <c r="B23" s="48" t="s">
        <v>30</v>
      </c>
      <c r="C23" s="48">
        <v>66</v>
      </c>
      <c r="D23" s="48">
        <v>5</v>
      </c>
      <c r="E23" s="49">
        <v>25920000</v>
      </c>
      <c r="F23" s="48">
        <v>0</v>
      </c>
      <c r="G23" s="48">
        <v>0</v>
      </c>
      <c r="H23" s="48">
        <v>3000000</v>
      </c>
    </row>
    <row r="24" spans="1:8" x14ac:dyDescent="0.65">
      <c r="A24" s="36">
        <v>4669</v>
      </c>
      <c r="B24" s="48" t="s">
        <v>31</v>
      </c>
      <c r="C24" s="48">
        <v>68</v>
      </c>
      <c r="D24" s="48">
        <v>5</v>
      </c>
      <c r="E24" s="49">
        <v>45360000</v>
      </c>
      <c r="F24" s="48">
        <v>0</v>
      </c>
      <c r="G24" s="48">
        <v>0</v>
      </c>
      <c r="H24" s="48">
        <v>0</v>
      </c>
    </row>
    <row r="25" spans="1:8" x14ac:dyDescent="0.65">
      <c r="A25" s="36">
        <v>4670</v>
      </c>
      <c r="B25" s="48" t="s">
        <v>32</v>
      </c>
      <c r="C25" s="48">
        <v>90</v>
      </c>
      <c r="D25" s="48">
        <v>5</v>
      </c>
      <c r="E25" s="49">
        <v>19440000</v>
      </c>
      <c r="F25" s="49">
        <v>40000000</v>
      </c>
      <c r="G25" s="48">
        <v>0</v>
      </c>
      <c r="H25" s="48">
        <v>1500000</v>
      </c>
    </row>
    <row r="26" spans="1:8" x14ac:dyDescent="0.65">
      <c r="A26" s="36">
        <v>4671</v>
      </c>
      <c r="B26" s="48" t="s">
        <v>33</v>
      </c>
      <c r="C26" s="48">
        <v>73</v>
      </c>
      <c r="D26" s="48">
        <v>5</v>
      </c>
      <c r="E26" s="49">
        <v>19440000</v>
      </c>
      <c r="F26" s="48">
        <v>0</v>
      </c>
      <c r="G26" s="48">
        <v>0</v>
      </c>
      <c r="H26" s="48">
        <v>0</v>
      </c>
    </row>
    <row r="27" spans="1:8" x14ac:dyDescent="0.65">
      <c r="A27" s="36">
        <v>4673</v>
      </c>
      <c r="B27" s="48" t="s">
        <v>34</v>
      </c>
      <c r="C27" s="48">
        <v>45</v>
      </c>
      <c r="D27" s="48">
        <v>5</v>
      </c>
      <c r="E27" s="49">
        <v>19440000</v>
      </c>
      <c r="F27" s="48">
        <v>0</v>
      </c>
      <c r="G27" s="48">
        <v>0</v>
      </c>
      <c r="H27" s="48">
        <v>1350000</v>
      </c>
    </row>
    <row r="28" spans="1:8" x14ac:dyDescent="0.65">
      <c r="A28" s="36">
        <v>4686</v>
      </c>
      <c r="B28" s="48" t="s">
        <v>35</v>
      </c>
      <c r="C28" s="48">
        <v>27</v>
      </c>
      <c r="D28" s="48">
        <v>5</v>
      </c>
      <c r="E28" s="49">
        <v>12960000</v>
      </c>
      <c r="F28" s="48">
        <v>0</v>
      </c>
      <c r="G28" s="48">
        <v>0</v>
      </c>
      <c r="H28" s="48">
        <v>1056000</v>
      </c>
    </row>
    <row r="29" spans="1:8" x14ac:dyDescent="0.65">
      <c r="A29" s="36">
        <v>4688</v>
      </c>
      <c r="B29" s="48" t="s">
        <v>37</v>
      </c>
      <c r="C29" s="48">
        <v>143</v>
      </c>
      <c r="D29" s="48">
        <v>5</v>
      </c>
      <c r="E29" s="49">
        <v>25920000</v>
      </c>
      <c r="F29" s="48">
        <v>0</v>
      </c>
      <c r="G29" s="48">
        <v>0</v>
      </c>
      <c r="H29" s="48">
        <v>0</v>
      </c>
    </row>
    <row r="30" spans="1:8" x14ac:dyDescent="0.65">
      <c r="A30" s="36">
        <v>4689</v>
      </c>
      <c r="B30" s="48" t="s">
        <v>38</v>
      </c>
      <c r="C30" s="48">
        <v>96</v>
      </c>
      <c r="D30" s="48">
        <v>5</v>
      </c>
      <c r="E30" s="49">
        <v>12960000</v>
      </c>
      <c r="F30" s="48">
        <v>0</v>
      </c>
      <c r="G30" s="48">
        <v>0</v>
      </c>
      <c r="H30" s="48">
        <v>958850</v>
      </c>
    </row>
    <row r="31" spans="1:8" x14ac:dyDescent="0.65">
      <c r="A31" s="36">
        <v>4693</v>
      </c>
      <c r="B31" s="48" t="s">
        <v>39</v>
      </c>
      <c r="C31" s="48">
        <v>24</v>
      </c>
      <c r="D31" s="48">
        <v>5</v>
      </c>
      <c r="E31" s="49">
        <v>6480000</v>
      </c>
      <c r="F31" s="48">
        <v>0</v>
      </c>
      <c r="G31" s="48">
        <v>0</v>
      </c>
      <c r="H31" s="48">
        <v>1500000</v>
      </c>
    </row>
    <row r="32" spans="1:8" x14ac:dyDescent="0.65">
      <c r="A32" s="36">
        <v>4705</v>
      </c>
      <c r="B32" s="48" t="s">
        <v>41</v>
      </c>
      <c r="C32" s="48">
        <v>134</v>
      </c>
      <c r="D32" s="48">
        <v>5</v>
      </c>
      <c r="E32" s="49">
        <v>6480000</v>
      </c>
      <c r="F32" s="48">
        <v>0</v>
      </c>
      <c r="G32" s="48">
        <v>0</v>
      </c>
      <c r="H32" s="48">
        <v>0</v>
      </c>
    </row>
    <row r="33" spans="1:8" x14ac:dyDescent="0.65">
      <c r="A33" s="36">
        <v>4727</v>
      </c>
      <c r="B33" s="48" t="s">
        <v>42</v>
      </c>
      <c r="C33" s="48">
        <v>58</v>
      </c>
      <c r="D33" s="48">
        <v>5</v>
      </c>
      <c r="E33" s="49">
        <v>6480000</v>
      </c>
      <c r="F33" s="48">
        <v>0</v>
      </c>
      <c r="G33" s="48">
        <v>0</v>
      </c>
      <c r="H33" s="48">
        <v>1500000</v>
      </c>
    </row>
    <row r="34" spans="1:8" x14ac:dyDescent="0.65">
      <c r="A34" s="36">
        <v>4728</v>
      </c>
      <c r="B34" s="48" t="s">
        <v>43</v>
      </c>
      <c r="C34" s="48">
        <v>144</v>
      </c>
      <c r="D34" s="48">
        <v>5</v>
      </c>
      <c r="E34" s="49">
        <v>6480000</v>
      </c>
      <c r="F34" s="48">
        <v>0</v>
      </c>
      <c r="G34" s="48">
        <v>0</v>
      </c>
      <c r="H34" s="48">
        <v>0</v>
      </c>
    </row>
    <row r="35" spans="1:8" x14ac:dyDescent="0.65">
      <c r="A35" s="36">
        <v>4735</v>
      </c>
      <c r="B35" s="48" t="s">
        <v>45</v>
      </c>
      <c r="C35" s="48">
        <v>141</v>
      </c>
      <c r="D35" s="48">
        <v>5</v>
      </c>
      <c r="E35" s="49">
        <v>32400000</v>
      </c>
      <c r="F35" s="48">
        <v>0</v>
      </c>
      <c r="G35" s="48">
        <v>0</v>
      </c>
      <c r="H35" s="48">
        <v>1500000</v>
      </c>
    </row>
    <row r="36" spans="1:8" x14ac:dyDescent="0.65">
      <c r="A36" s="36">
        <v>5616</v>
      </c>
      <c r="B36" s="48" t="s">
        <v>46</v>
      </c>
      <c r="C36" s="48">
        <v>40</v>
      </c>
      <c r="D36" s="48">
        <v>5</v>
      </c>
      <c r="E36" s="49">
        <v>32400000</v>
      </c>
      <c r="F36" s="48">
        <v>0</v>
      </c>
      <c r="G36" s="48">
        <v>0</v>
      </c>
      <c r="H36" s="48">
        <v>0</v>
      </c>
    </row>
    <row r="37" spans="1:8" x14ac:dyDescent="0.65">
      <c r="A37" s="36">
        <v>5623</v>
      </c>
      <c r="B37" s="48" t="s">
        <v>48</v>
      </c>
      <c r="C37" s="48">
        <v>100</v>
      </c>
      <c r="D37" s="48">
        <v>5</v>
      </c>
      <c r="E37" s="49">
        <v>12960000</v>
      </c>
      <c r="F37" s="48">
        <v>0</v>
      </c>
      <c r="G37" s="48">
        <v>0</v>
      </c>
      <c r="H37" s="48">
        <v>0</v>
      </c>
    </row>
    <row r="38" spans="1:8" x14ac:dyDescent="0.65">
      <c r="A38" s="36">
        <v>5624</v>
      </c>
      <c r="B38" s="48" t="s">
        <v>49</v>
      </c>
      <c r="C38" s="48">
        <v>109</v>
      </c>
      <c r="D38" s="48">
        <v>5</v>
      </c>
      <c r="E38" s="49">
        <v>19440000</v>
      </c>
      <c r="F38" s="49">
        <v>40000000</v>
      </c>
      <c r="G38" s="48">
        <v>0</v>
      </c>
      <c r="H38" s="48">
        <v>3000000</v>
      </c>
    </row>
    <row r="39" spans="1:8" x14ac:dyDescent="0.65">
      <c r="A39" s="36">
        <v>5626</v>
      </c>
      <c r="B39" s="48" t="s">
        <v>50</v>
      </c>
      <c r="C39" s="48">
        <v>37</v>
      </c>
      <c r="D39" s="48">
        <v>5</v>
      </c>
      <c r="E39" s="49">
        <v>12960000</v>
      </c>
      <c r="F39" s="48">
        <v>0</v>
      </c>
      <c r="G39" s="48">
        <v>0</v>
      </c>
      <c r="H39" s="48">
        <v>0</v>
      </c>
    </row>
    <row r="40" spans="1:8" x14ac:dyDescent="0.65">
      <c r="A40" s="36">
        <v>5627</v>
      </c>
      <c r="B40" s="48" t="s">
        <v>51</v>
      </c>
      <c r="C40" s="48">
        <v>101</v>
      </c>
      <c r="D40" s="48">
        <v>5</v>
      </c>
      <c r="E40" s="49">
        <v>12960000</v>
      </c>
      <c r="F40" s="48">
        <v>0</v>
      </c>
      <c r="G40" s="48">
        <v>0</v>
      </c>
      <c r="H40" s="48">
        <v>0</v>
      </c>
    </row>
    <row r="41" spans="1:8" x14ac:dyDescent="0.65">
      <c r="A41" s="36">
        <v>5628</v>
      </c>
      <c r="B41" s="48" t="s">
        <v>52</v>
      </c>
      <c r="C41" s="48">
        <v>123</v>
      </c>
      <c r="D41" s="48">
        <v>5</v>
      </c>
      <c r="E41" s="49">
        <v>12960000</v>
      </c>
      <c r="F41" s="48">
        <v>0</v>
      </c>
      <c r="G41" s="48">
        <v>0</v>
      </c>
      <c r="H41" s="48">
        <v>4524410</v>
      </c>
    </row>
    <row r="42" spans="1:8" x14ac:dyDescent="0.65">
      <c r="A42" s="36">
        <v>5629</v>
      </c>
      <c r="B42" s="48" t="s">
        <v>53</v>
      </c>
      <c r="C42" s="48">
        <v>46</v>
      </c>
      <c r="D42" s="48">
        <v>5</v>
      </c>
      <c r="E42" s="49">
        <v>12960000</v>
      </c>
      <c r="F42" s="48">
        <v>0</v>
      </c>
      <c r="G42" s="48">
        <v>0</v>
      </c>
      <c r="H42" s="48">
        <v>0</v>
      </c>
    </row>
    <row r="43" spans="1:8" x14ac:dyDescent="0.65">
      <c r="A43" s="36">
        <v>5632</v>
      </c>
      <c r="B43" s="48" t="s">
        <v>55</v>
      </c>
      <c r="C43" s="48">
        <v>108</v>
      </c>
      <c r="D43" s="48">
        <v>5</v>
      </c>
      <c r="E43" s="49">
        <v>25920000</v>
      </c>
      <c r="F43" s="48">
        <v>0</v>
      </c>
      <c r="G43" s="48">
        <v>0</v>
      </c>
      <c r="H43" s="48">
        <v>0</v>
      </c>
    </row>
    <row r="44" spans="1:8" x14ac:dyDescent="0.65">
      <c r="A44" s="36">
        <v>5635</v>
      </c>
      <c r="B44" s="48" t="s">
        <v>57</v>
      </c>
      <c r="C44" s="48">
        <v>106</v>
      </c>
      <c r="D44" s="48">
        <v>5</v>
      </c>
      <c r="E44" s="49">
        <v>25920000</v>
      </c>
      <c r="F44" s="48">
        <v>0</v>
      </c>
      <c r="G44" s="48">
        <v>0</v>
      </c>
      <c r="H44" s="48">
        <v>0</v>
      </c>
    </row>
    <row r="45" spans="1:8" x14ac:dyDescent="0.65">
      <c r="A45" s="36">
        <v>5637</v>
      </c>
      <c r="B45" s="48" t="s">
        <v>58</v>
      </c>
      <c r="C45" s="48">
        <v>107</v>
      </c>
      <c r="D45" s="48">
        <v>5</v>
      </c>
      <c r="E45" s="49">
        <v>25920000</v>
      </c>
      <c r="F45" s="48">
        <v>0</v>
      </c>
      <c r="G45" s="48">
        <v>0</v>
      </c>
      <c r="H45" s="48">
        <v>0</v>
      </c>
    </row>
    <row r="46" spans="1:8" x14ac:dyDescent="0.65">
      <c r="A46" s="36">
        <v>5638</v>
      </c>
      <c r="B46" s="48" t="s">
        <v>59</v>
      </c>
      <c r="C46" s="48">
        <v>87</v>
      </c>
      <c r="D46" s="48">
        <v>5</v>
      </c>
      <c r="E46" s="49">
        <v>12960000</v>
      </c>
      <c r="F46" s="49">
        <v>40000000</v>
      </c>
      <c r="G46" s="48">
        <v>0</v>
      </c>
      <c r="H46" s="48">
        <v>0</v>
      </c>
    </row>
    <row r="47" spans="1:8" x14ac:dyDescent="0.65">
      <c r="A47" s="36">
        <v>5655</v>
      </c>
      <c r="B47" s="48" t="s">
        <v>63</v>
      </c>
      <c r="C47" s="48">
        <v>130</v>
      </c>
      <c r="D47" s="48">
        <v>5</v>
      </c>
      <c r="E47" s="49">
        <v>19440000</v>
      </c>
      <c r="F47" s="48">
        <v>0</v>
      </c>
      <c r="G47" s="48">
        <v>0</v>
      </c>
      <c r="H47" s="48">
        <v>0</v>
      </c>
    </row>
    <row r="48" spans="1:8" x14ac:dyDescent="0.65">
      <c r="A48" s="36">
        <v>5675</v>
      </c>
      <c r="B48" s="48" t="s">
        <v>66</v>
      </c>
      <c r="C48" s="48">
        <v>103</v>
      </c>
      <c r="D48" s="48">
        <v>5</v>
      </c>
      <c r="E48" s="49">
        <v>12960000</v>
      </c>
      <c r="F48" s="49">
        <v>40000000</v>
      </c>
      <c r="G48" s="48">
        <v>0</v>
      </c>
      <c r="H48" s="48">
        <v>0</v>
      </c>
    </row>
    <row r="49" spans="1:8" x14ac:dyDescent="0.65">
      <c r="A49" s="36">
        <v>5685</v>
      </c>
      <c r="B49" s="48" t="s">
        <v>67</v>
      </c>
      <c r="C49" s="48">
        <v>142</v>
      </c>
      <c r="D49" s="48">
        <v>5</v>
      </c>
      <c r="E49" s="49">
        <v>19440000</v>
      </c>
      <c r="F49" s="48">
        <v>0</v>
      </c>
      <c r="G49" s="48">
        <v>0</v>
      </c>
      <c r="H49" s="48">
        <v>0</v>
      </c>
    </row>
    <row r="50" spans="1:8" x14ac:dyDescent="0.65">
      <c r="A50" s="36">
        <v>5699</v>
      </c>
      <c r="B50" s="48" t="s">
        <v>68</v>
      </c>
      <c r="C50" s="48">
        <v>159</v>
      </c>
      <c r="D50" s="48">
        <v>5</v>
      </c>
      <c r="E50" s="49">
        <v>32400000</v>
      </c>
      <c r="F50" s="48">
        <v>0</v>
      </c>
      <c r="G50" s="48">
        <v>0</v>
      </c>
      <c r="H50" s="48">
        <v>0</v>
      </c>
    </row>
    <row r="51" spans="1:8" x14ac:dyDescent="0.65">
      <c r="A51" s="36">
        <v>5705</v>
      </c>
      <c r="B51" s="48" t="s">
        <v>70</v>
      </c>
      <c r="C51" s="48">
        <v>104</v>
      </c>
      <c r="D51" s="48">
        <v>5</v>
      </c>
      <c r="E51" s="49">
        <v>25920000</v>
      </c>
      <c r="F51" s="48">
        <v>0</v>
      </c>
      <c r="G51" s="48">
        <v>0</v>
      </c>
      <c r="H51" s="48">
        <v>0</v>
      </c>
    </row>
    <row r="52" spans="1:8" x14ac:dyDescent="0.65">
      <c r="A52" s="36">
        <v>5708</v>
      </c>
      <c r="B52" s="48" t="s">
        <v>72</v>
      </c>
      <c r="C52" s="48">
        <v>50</v>
      </c>
      <c r="D52" s="48">
        <v>5</v>
      </c>
      <c r="E52" s="49">
        <v>19440000</v>
      </c>
      <c r="F52" s="48">
        <v>0</v>
      </c>
      <c r="G52" s="48">
        <v>0</v>
      </c>
      <c r="H52" s="48">
        <v>0</v>
      </c>
    </row>
    <row r="53" spans="1:8" x14ac:dyDescent="0.65">
      <c r="A53" s="36">
        <v>5710</v>
      </c>
      <c r="B53" s="48" t="s">
        <v>73</v>
      </c>
      <c r="C53" s="48">
        <v>74</v>
      </c>
      <c r="D53" s="48">
        <v>5</v>
      </c>
      <c r="E53" s="49">
        <v>19440000</v>
      </c>
      <c r="F53" s="48">
        <v>0</v>
      </c>
      <c r="G53" s="48">
        <v>0</v>
      </c>
      <c r="H53" s="48">
        <v>0</v>
      </c>
    </row>
    <row r="54" spans="1:8" x14ac:dyDescent="0.65">
      <c r="A54" s="36">
        <v>5727</v>
      </c>
      <c r="B54" s="48" t="s">
        <v>76</v>
      </c>
      <c r="C54" s="48">
        <v>47</v>
      </c>
      <c r="D54" s="48">
        <v>5</v>
      </c>
      <c r="E54" s="49">
        <v>38880000</v>
      </c>
      <c r="F54" s="48">
        <v>0</v>
      </c>
      <c r="G54" s="48">
        <v>0</v>
      </c>
      <c r="H54" s="48">
        <v>0</v>
      </c>
    </row>
    <row r="55" spans="1:8" x14ac:dyDescent="0.65">
      <c r="A55" s="36">
        <v>5734</v>
      </c>
      <c r="B55" s="48" t="s">
        <v>77</v>
      </c>
      <c r="C55" s="48">
        <v>98</v>
      </c>
      <c r="D55" s="48">
        <v>5</v>
      </c>
      <c r="E55" s="49">
        <v>6480000</v>
      </c>
      <c r="F55" s="49">
        <v>40000000</v>
      </c>
      <c r="G55" s="48">
        <v>0</v>
      </c>
      <c r="H55" s="48">
        <v>0</v>
      </c>
    </row>
    <row r="56" spans="1:8" x14ac:dyDescent="0.65">
      <c r="A56" s="36">
        <v>5765</v>
      </c>
      <c r="B56" s="48" t="s">
        <v>80</v>
      </c>
      <c r="C56" s="48">
        <v>51</v>
      </c>
      <c r="D56" s="48">
        <v>5</v>
      </c>
      <c r="E56" s="49">
        <v>19440000</v>
      </c>
      <c r="F56" s="48">
        <v>0</v>
      </c>
      <c r="G56" s="48">
        <v>0</v>
      </c>
      <c r="H56" s="48">
        <v>0</v>
      </c>
    </row>
    <row r="57" spans="1:8" x14ac:dyDescent="0.65">
      <c r="A57" s="36">
        <v>5766</v>
      </c>
      <c r="B57" s="48" t="s">
        <v>81</v>
      </c>
      <c r="C57" s="48">
        <v>135</v>
      </c>
      <c r="D57" s="48">
        <v>5</v>
      </c>
      <c r="E57" s="49">
        <v>19440000</v>
      </c>
      <c r="F57" s="48">
        <v>0</v>
      </c>
      <c r="G57" s="48">
        <v>0</v>
      </c>
      <c r="H57" s="48">
        <v>0</v>
      </c>
    </row>
    <row r="58" spans="1:8" x14ac:dyDescent="0.65">
      <c r="A58" s="36">
        <v>5771</v>
      </c>
      <c r="B58" s="48" t="s">
        <v>82</v>
      </c>
      <c r="C58" s="48">
        <v>77</v>
      </c>
      <c r="D58" s="48">
        <v>5</v>
      </c>
      <c r="E58" s="49">
        <v>12960000</v>
      </c>
      <c r="F58" s="49">
        <v>40000000</v>
      </c>
      <c r="G58" s="48">
        <v>0</v>
      </c>
      <c r="H58" s="48">
        <v>0</v>
      </c>
    </row>
    <row r="59" spans="1:8" x14ac:dyDescent="0.65">
      <c r="A59" s="36">
        <v>5783</v>
      </c>
      <c r="B59" s="48" t="s">
        <v>84</v>
      </c>
      <c r="C59" s="48">
        <v>79</v>
      </c>
      <c r="D59" s="48">
        <v>5</v>
      </c>
      <c r="E59" s="49">
        <v>51840000</v>
      </c>
      <c r="F59" s="48">
        <v>0</v>
      </c>
      <c r="G59" s="48">
        <v>0</v>
      </c>
      <c r="H59" s="48">
        <v>0</v>
      </c>
    </row>
    <row r="60" spans="1:8" x14ac:dyDescent="0.65">
      <c r="A60" s="36">
        <v>5784</v>
      </c>
      <c r="B60" s="48" t="s">
        <v>85</v>
      </c>
      <c r="C60" s="48">
        <v>148</v>
      </c>
      <c r="D60" s="48">
        <v>5</v>
      </c>
      <c r="E60" s="49">
        <v>32400000</v>
      </c>
      <c r="F60" s="49">
        <v>40000000</v>
      </c>
      <c r="G60" s="48">
        <v>0</v>
      </c>
      <c r="H60" s="48">
        <v>0</v>
      </c>
    </row>
    <row r="61" spans="1:8" x14ac:dyDescent="0.65">
      <c r="A61" s="36">
        <v>5791</v>
      </c>
      <c r="B61" s="48" t="s">
        <v>86</v>
      </c>
      <c r="C61" s="48">
        <v>150</v>
      </c>
      <c r="D61" s="48">
        <v>5</v>
      </c>
      <c r="E61" s="49">
        <v>6480000</v>
      </c>
      <c r="F61" s="48">
        <v>0</v>
      </c>
      <c r="G61" s="48">
        <v>0</v>
      </c>
      <c r="H61" s="48">
        <v>1500000</v>
      </c>
    </row>
    <row r="62" spans="1:8" x14ac:dyDescent="0.65">
      <c r="A62" s="36">
        <v>5793</v>
      </c>
      <c r="B62" s="48" t="s">
        <v>87</v>
      </c>
      <c r="C62" s="48">
        <v>43</v>
      </c>
      <c r="D62" s="48">
        <v>5</v>
      </c>
      <c r="E62" s="48">
        <v>0</v>
      </c>
      <c r="F62" s="49">
        <v>40000000</v>
      </c>
      <c r="G62" s="48">
        <v>0</v>
      </c>
      <c r="H62" s="48">
        <v>0</v>
      </c>
    </row>
    <row r="63" spans="1:8" x14ac:dyDescent="0.65">
      <c r="A63" s="36">
        <v>5816</v>
      </c>
      <c r="B63" s="48" t="s">
        <v>92</v>
      </c>
      <c r="C63" s="48">
        <v>86</v>
      </c>
      <c r="D63" s="48">
        <v>5</v>
      </c>
      <c r="E63" s="49">
        <v>6480000</v>
      </c>
      <c r="F63" s="48">
        <v>0</v>
      </c>
      <c r="G63" s="48">
        <v>0</v>
      </c>
      <c r="H63" s="48">
        <v>1500000</v>
      </c>
    </row>
    <row r="64" spans="1:8" x14ac:dyDescent="0.65">
      <c r="A64" s="36">
        <v>5837</v>
      </c>
      <c r="B64" s="48" t="s">
        <v>100</v>
      </c>
      <c r="C64" s="48">
        <v>75</v>
      </c>
      <c r="D64" s="48">
        <v>5</v>
      </c>
      <c r="E64" s="49">
        <v>6480000</v>
      </c>
      <c r="F64" s="48">
        <v>0</v>
      </c>
      <c r="G64" s="48">
        <v>0</v>
      </c>
      <c r="H64" s="48">
        <v>3876920</v>
      </c>
    </row>
    <row r="65" spans="1:8" x14ac:dyDescent="0.65">
      <c r="A65" s="36">
        <v>5843</v>
      </c>
      <c r="B65" s="48" t="s">
        <v>102</v>
      </c>
      <c r="C65" s="48">
        <v>76</v>
      </c>
      <c r="D65" s="48">
        <v>5</v>
      </c>
      <c r="E65" s="49">
        <v>12960000</v>
      </c>
      <c r="F65" s="49">
        <v>40000000</v>
      </c>
      <c r="G65" s="48">
        <v>0</v>
      </c>
      <c r="H65" s="48">
        <v>0</v>
      </c>
    </row>
    <row r="66" spans="1:8" x14ac:dyDescent="0.65">
      <c r="A66" s="36">
        <v>5847</v>
      </c>
      <c r="B66" s="48" t="s">
        <v>103</v>
      </c>
      <c r="C66" s="48">
        <v>93</v>
      </c>
      <c r="D66" s="48">
        <v>5</v>
      </c>
      <c r="E66" s="49">
        <v>32400000</v>
      </c>
      <c r="F66" s="49">
        <v>40000000</v>
      </c>
      <c r="G66" s="48">
        <v>0</v>
      </c>
      <c r="H66" s="48">
        <v>0</v>
      </c>
    </row>
    <row r="67" spans="1:8" x14ac:dyDescent="0.65">
      <c r="A67" s="36">
        <v>5857</v>
      </c>
      <c r="B67" s="48" t="s">
        <v>106</v>
      </c>
      <c r="C67" s="48">
        <v>48</v>
      </c>
      <c r="D67" s="48">
        <v>5</v>
      </c>
      <c r="E67" s="49">
        <v>6480000</v>
      </c>
      <c r="F67" s="48">
        <v>0</v>
      </c>
      <c r="G67" s="48">
        <v>0</v>
      </c>
      <c r="H67" s="48">
        <v>4500000</v>
      </c>
    </row>
    <row r="68" spans="1:8" x14ac:dyDescent="0.65">
      <c r="A68" s="36">
        <v>5863</v>
      </c>
      <c r="B68" s="48" t="s">
        <v>107</v>
      </c>
      <c r="C68" s="48">
        <v>2</v>
      </c>
      <c r="D68" s="48">
        <v>5</v>
      </c>
      <c r="E68" s="49">
        <v>25920000</v>
      </c>
      <c r="F68" s="48">
        <v>0</v>
      </c>
      <c r="G68" s="48">
        <v>0</v>
      </c>
      <c r="H68" s="48">
        <v>0</v>
      </c>
    </row>
    <row r="69" spans="1:8" x14ac:dyDescent="0.65">
      <c r="A69" s="36">
        <v>5867</v>
      </c>
      <c r="B69" s="48" t="s">
        <v>108</v>
      </c>
      <c r="C69" s="48">
        <v>78</v>
      </c>
      <c r="D69" s="48">
        <v>5</v>
      </c>
      <c r="E69" s="49">
        <v>6480000</v>
      </c>
      <c r="F69" s="48">
        <v>0</v>
      </c>
      <c r="G69" s="48">
        <v>0</v>
      </c>
      <c r="H69" s="48">
        <v>2728000</v>
      </c>
    </row>
    <row r="70" spans="1:8" x14ac:dyDescent="0.65">
      <c r="A70" s="36">
        <v>5870</v>
      </c>
      <c r="B70" s="48" t="s">
        <v>109</v>
      </c>
      <c r="C70" s="48">
        <v>199</v>
      </c>
      <c r="D70" s="48">
        <v>5</v>
      </c>
      <c r="E70" s="49">
        <v>6480000</v>
      </c>
      <c r="F70" s="48">
        <v>0</v>
      </c>
      <c r="G70" s="48">
        <v>0</v>
      </c>
      <c r="H70" s="48">
        <v>0</v>
      </c>
    </row>
    <row r="71" spans="1:8" x14ac:dyDescent="0.65">
      <c r="A71" s="36">
        <v>5883</v>
      </c>
      <c r="B71" s="48" t="s">
        <v>111</v>
      </c>
      <c r="C71" s="48">
        <v>6</v>
      </c>
      <c r="D71" s="48">
        <v>5</v>
      </c>
      <c r="E71" s="49">
        <v>38880000</v>
      </c>
      <c r="F71" s="48">
        <v>0</v>
      </c>
      <c r="G71" s="49">
        <v>21887016</v>
      </c>
      <c r="H71" s="48">
        <v>0</v>
      </c>
    </row>
    <row r="72" spans="1:8" x14ac:dyDescent="0.65">
      <c r="A72" s="36">
        <v>5885</v>
      </c>
      <c r="B72" s="48" t="s">
        <v>112</v>
      </c>
      <c r="C72" s="48">
        <v>161</v>
      </c>
      <c r="D72" s="48">
        <v>5</v>
      </c>
      <c r="E72" s="49">
        <v>12960000</v>
      </c>
      <c r="F72" s="48">
        <v>0</v>
      </c>
      <c r="G72" s="48">
        <v>0</v>
      </c>
      <c r="H72" s="48">
        <v>1500000</v>
      </c>
    </row>
    <row r="73" spans="1:8" x14ac:dyDescent="0.65">
      <c r="A73" s="36">
        <v>5886</v>
      </c>
      <c r="B73" s="48" t="s">
        <v>113</v>
      </c>
      <c r="C73" s="48">
        <v>166</v>
      </c>
      <c r="D73" s="48">
        <v>5</v>
      </c>
      <c r="E73" s="49">
        <v>6480000</v>
      </c>
      <c r="F73" s="48">
        <v>0</v>
      </c>
      <c r="G73" s="48">
        <v>0</v>
      </c>
      <c r="H73" s="48">
        <v>0</v>
      </c>
    </row>
    <row r="74" spans="1:8" x14ac:dyDescent="0.65">
      <c r="A74" s="36">
        <v>5887</v>
      </c>
      <c r="B74" s="48" t="s">
        <v>114</v>
      </c>
      <c r="C74" s="48">
        <v>167</v>
      </c>
      <c r="D74" s="48">
        <v>5</v>
      </c>
      <c r="E74" s="49">
        <v>6480000</v>
      </c>
      <c r="F74" s="48">
        <v>0</v>
      </c>
      <c r="G74" s="48">
        <v>0</v>
      </c>
      <c r="H74" s="48">
        <v>3298100</v>
      </c>
    </row>
    <row r="75" spans="1:8" x14ac:dyDescent="0.65">
      <c r="A75" s="36">
        <v>5890</v>
      </c>
      <c r="B75" s="48" t="s">
        <v>116</v>
      </c>
      <c r="C75" s="48">
        <v>15</v>
      </c>
      <c r="D75" s="48">
        <v>5</v>
      </c>
      <c r="E75" s="49">
        <v>19440000</v>
      </c>
      <c r="F75" s="48">
        <v>0</v>
      </c>
      <c r="G75" s="48">
        <v>0</v>
      </c>
      <c r="H75" s="48">
        <v>0</v>
      </c>
    </row>
    <row r="76" spans="1:8" x14ac:dyDescent="0.65">
      <c r="A76" s="36">
        <v>5898</v>
      </c>
      <c r="B76" s="48" t="s">
        <v>117</v>
      </c>
      <c r="C76" s="48">
        <v>29</v>
      </c>
      <c r="D76" s="48">
        <v>5</v>
      </c>
      <c r="E76" s="49">
        <v>25920000</v>
      </c>
      <c r="F76" s="49">
        <v>33333333</v>
      </c>
      <c r="G76" s="48">
        <v>0</v>
      </c>
      <c r="H76" s="48">
        <v>4000000</v>
      </c>
    </row>
    <row r="77" spans="1:8" x14ac:dyDescent="0.65">
      <c r="A77" s="36">
        <v>5900</v>
      </c>
      <c r="B77" s="48" t="s">
        <v>118</v>
      </c>
      <c r="C77" s="48">
        <v>42</v>
      </c>
      <c r="D77" s="48">
        <v>5</v>
      </c>
      <c r="E77" s="49">
        <v>6480000</v>
      </c>
      <c r="F77" s="48">
        <v>0</v>
      </c>
      <c r="G77" s="48">
        <v>0</v>
      </c>
      <c r="H77" s="48">
        <v>0</v>
      </c>
    </row>
    <row r="78" spans="1:8" x14ac:dyDescent="0.65">
      <c r="A78" s="36">
        <v>5907</v>
      </c>
      <c r="B78" s="48" t="s">
        <v>123</v>
      </c>
      <c r="C78" s="48">
        <v>16</v>
      </c>
      <c r="D78" s="48">
        <v>5</v>
      </c>
      <c r="E78" s="49">
        <v>19440000</v>
      </c>
      <c r="F78" s="49">
        <v>99999999</v>
      </c>
      <c r="G78" s="48">
        <v>0</v>
      </c>
      <c r="H78" s="48">
        <v>0</v>
      </c>
    </row>
    <row r="79" spans="1:8" x14ac:dyDescent="0.65">
      <c r="A79" s="36">
        <v>5909</v>
      </c>
      <c r="B79" s="48" t="s">
        <v>124</v>
      </c>
      <c r="C79" s="48">
        <v>23</v>
      </c>
      <c r="D79" s="48">
        <v>5</v>
      </c>
      <c r="E79" s="49">
        <v>19440000</v>
      </c>
      <c r="F79" s="48">
        <v>0</v>
      </c>
      <c r="G79" s="48">
        <v>0</v>
      </c>
      <c r="H79" s="48">
        <v>1500000</v>
      </c>
    </row>
    <row r="80" spans="1:8" x14ac:dyDescent="0.65">
      <c r="A80" s="36">
        <v>5914</v>
      </c>
      <c r="B80" s="48" t="s">
        <v>125</v>
      </c>
      <c r="C80" s="48">
        <v>14</v>
      </c>
      <c r="D80" s="48">
        <v>5</v>
      </c>
      <c r="E80" s="48">
        <v>0</v>
      </c>
      <c r="F80" s="49">
        <v>375999999</v>
      </c>
      <c r="G80" s="48">
        <v>0</v>
      </c>
      <c r="H80" s="48">
        <v>0</v>
      </c>
    </row>
    <row r="81" spans="1:8" x14ac:dyDescent="0.65">
      <c r="A81" s="36">
        <v>5918</v>
      </c>
      <c r="B81" s="48" t="s">
        <v>126</v>
      </c>
      <c r="C81" s="48">
        <v>9</v>
      </c>
      <c r="D81" s="48">
        <v>5</v>
      </c>
      <c r="E81" s="49">
        <v>12960000</v>
      </c>
      <c r="F81" s="48">
        <v>0</v>
      </c>
      <c r="G81" s="48">
        <v>0</v>
      </c>
      <c r="H81" s="48">
        <v>0</v>
      </c>
    </row>
    <row r="82" spans="1:8" x14ac:dyDescent="0.65">
      <c r="A82" s="36">
        <v>5919</v>
      </c>
      <c r="B82" s="48" t="s">
        <v>127</v>
      </c>
      <c r="C82" s="48">
        <v>152</v>
      </c>
      <c r="D82" s="48">
        <v>5</v>
      </c>
      <c r="E82" s="49">
        <v>25920000</v>
      </c>
      <c r="F82" s="49">
        <v>40000000</v>
      </c>
      <c r="G82" s="48">
        <v>0</v>
      </c>
      <c r="H82" s="48">
        <v>2000000</v>
      </c>
    </row>
    <row r="83" spans="1:8" x14ac:dyDescent="0.65">
      <c r="A83" s="36">
        <v>5920</v>
      </c>
      <c r="B83" s="48" t="s">
        <v>128</v>
      </c>
      <c r="C83" s="48">
        <v>111</v>
      </c>
      <c r="D83" s="48">
        <v>5</v>
      </c>
      <c r="E83" s="49">
        <v>6480000</v>
      </c>
      <c r="F83" s="48">
        <v>0</v>
      </c>
      <c r="G83" s="48">
        <v>0</v>
      </c>
      <c r="H83" s="48">
        <v>0</v>
      </c>
    </row>
    <row r="84" spans="1:8" x14ac:dyDescent="0.65">
      <c r="A84" s="36">
        <v>5924</v>
      </c>
      <c r="B84" s="48" t="s">
        <v>130</v>
      </c>
      <c r="C84" s="48">
        <v>54</v>
      </c>
      <c r="D84" s="48">
        <v>5</v>
      </c>
      <c r="E84" s="49">
        <v>12960000</v>
      </c>
      <c r="F84" s="48">
        <v>0</v>
      </c>
      <c r="G84" s="48">
        <v>0</v>
      </c>
      <c r="H84" s="48">
        <v>0</v>
      </c>
    </row>
    <row r="85" spans="1:8" x14ac:dyDescent="0.65">
      <c r="A85" s="36">
        <v>5926</v>
      </c>
      <c r="B85" s="48" t="s">
        <v>131</v>
      </c>
      <c r="C85" s="48">
        <v>112</v>
      </c>
      <c r="D85" s="48">
        <v>5</v>
      </c>
      <c r="E85" s="49">
        <v>25920000</v>
      </c>
      <c r="F85" s="49">
        <v>60000000</v>
      </c>
      <c r="G85" s="48">
        <v>0</v>
      </c>
      <c r="H85" s="48">
        <v>1700000</v>
      </c>
    </row>
    <row r="86" spans="1:8" x14ac:dyDescent="0.65">
      <c r="A86" s="36">
        <v>5927</v>
      </c>
      <c r="B86" s="48" t="s">
        <v>132</v>
      </c>
      <c r="C86" s="48">
        <v>153</v>
      </c>
      <c r="D86" s="48">
        <v>5</v>
      </c>
      <c r="E86" s="49">
        <v>6480000</v>
      </c>
      <c r="F86" s="48">
        <v>0</v>
      </c>
      <c r="G86" s="48">
        <v>0</v>
      </c>
      <c r="H86" s="48">
        <v>0</v>
      </c>
    </row>
    <row r="87" spans="1:8" x14ac:dyDescent="0.65">
      <c r="A87" s="36">
        <v>5931</v>
      </c>
      <c r="B87" s="48" t="s">
        <v>133</v>
      </c>
      <c r="C87" s="48">
        <v>113</v>
      </c>
      <c r="D87" s="48">
        <v>5</v>
      </c>
      <c r="E87" s="49">
        <v>25920000</v>
      </c>
      <c r="F87" s="49">
        <v>40000000</v>
      </c>
      <c r="G87" s="48">
        <v>0</v>
      </c>
      <c r="H87" s="48">
        <v>0</v>
      </c>
    </row>
    <row r="88" spans="1:8" x14ac:dyDescent="0.65">
      <c r="A88" s="36">
        <v>5936</v>
      </c>
      <c r="B88" s="48" t="s">
        <v>134</v>
      </c>
      <c r="C88" s="48">
        <v>11</v>
      </c>
      <c r="D88" s="48">
        <v>5</v>
      </c>
      <c r="E88" s="49">
        <v>25920000</v>
      </c>
      <c r="F88" s="48">
        <v>0</v>
      </c>
      <c r="G88" s="48">
        <v>0</v>
      </c>
      <c r="H88" s="48">
        <v>0</v>
      </c>
    </row>
    <row r="89" spans="1:8" x14ac:dyDescent="0.65">
      <c r="A89" s="36">
        <v>5938</v>
      </c>
      <c r="B89" s="48" t="s">
        <v>135</v>
      </c>
      <c r="C89" s="48">
        <v>114</v>
      </c>
      <c r="D89" s="48">
        <v>5</v>
      </c>
      <c r="E89" s="49">
        <v>6480000</v>
      </c>
      <c r="F89" s="49">
        <v>40000000</v>
      </c>
      <c r="G89" s="48">
        <v>0</v>
      </c>
      <c r="H89" s="48">
        <v>0</v>
      </c>
    </row>
    <row r="90" spans="1:8" x14ac:dyDescent="0.65">
      <c r="A90" s="36">
        <v>5941</v>
      </c>
      <c r="B90" s="48" t="s">
        <v>137</v>
      </c>
      <c r="C90" s="48">
        <v>184</v>
      </c>
      <c r="D90" s="48">
        <v>5</v>
      </c>
      <c r="E90" s="49">
        <v>6480000</v>
      </c>
      <c r="F90" s="48">
        <v>0</v>
      </c>
      <c r="G90" s="48">
        <v>0</v>
      </c>
      <c r="H90" s="48">
        <v>0</v>
      </c>
    </row>
    <row r="91" spans="1:8" x14ac:dyDescent="0.65">
      <c r="A91" s="36">
        <v>5942</v>
      </c>
      <c r="B91" s="48" t="s">
        <v>138</v>
      </c>
      <c r="C91" s="48">
        <v>59</v>
      </c>
      <c r="D91" s="48">
        <v>5</v>
      </c>
      <c r="E91" s="49">
        <v>6480000</v>
      </c>
      <c r="F91" s="48">
        <v>0</v>
      </c>
      <c r="G91" s="48">
        <v>0</v>
      </c>
      <c r="H91" s="48">
        <v>1351650</v>
      </c>
    </row>
    <row r="92" spans="1:8" x14ac:dyDescent="0.65">
      <c r="A92" s="36">
        <v>5944</v>
      </c>
      <c r="B92" s="48" t="s">
        <v>139</v>
      </c>
      <c r="C92" s="48">
        <v>173</v>
      </c>
      <c r="D92" s="48">
        <v>5</v>
      </c>
      <c r="E92" s="49">
        <v>19440000</v>
      </c>
      <c r="F92" s="48">
        <v>0</v>
      </c>
      <c r="G92" s="48">
        <v>0</v>
      </c>
      <c r="H92" s="48">
        <v>0</v>
      </c>
    </row>
    <row r="93" spans="1:8" x14ac:dyDescent="0.65">
      <c r="A93" s="36">
        <v>5950</v>
      </c>
      <c r="B93" s="48" t="s">
        <v>141</v>
      </c>
      <c r="C93" s="48">
        <v>308</v>
      </c>
      <c r="D93" s="48">
        <v>5</v>
      </c>
      <c r="E93" s="49">
        <v>25920000</v>
      </c>
      <c r="F93" s="48">
        <v>0</v>
      </c>
      <c r="G93" s="48">
        <v>0</v>
      </c>
      <c r="H93" s="48">
        <v>0</v>
      </c>
    </row>
    <row r="94" spans="1:8" x14ac:dyDescent="0.65">
      <c r="A94" s="36">
        <v>5957</v>
      </c>
      <c r="B94" s="48" t="s">
        <v>142</v>
      </c>
      <c r="C94" s="48">
        <v>88</v>
      </c>
      <c r="D94" s="48">
        <v>5</v>
      </c>
      <c r="E94" s="49">
        <v>6480000</v>
      </c>
      <c r="F94" s="49">
        <v>20000000</v>
      </c>
      <c r="G94" s="48">
        <v>0</v>
      </c>
      <c r="H94" s="48">
        <v>2352300</v>
      </c>
    </row>
    <row r="95" spans="1:8" x14ac:dyDescent="0.65">
      <c r="A95" s="36">
        <v>5960</v>
      </c>
      <c r="B95" s="48" t="s">
        <v>144</v>
      </c>
      <c r="C95" s="48">
        <v>115</v>
      </c>
      <c r="D95" s="48">
        <v>5</v>
      </c>
      <c r="E95" s="49">
        <v>25920000</v>
      </c>
      <c r="F95" s="49">
        <v>50000000</v>
      </c>
      <c r="G95" s="48">
        <v>0</v>
      </c>
      <c r="H95" s="48">
        <v>0</v>
      </c>
    </row>
    <row r="96" spans="1:8" x14ac:dyDescent="0.65">
      <c r="A96" s="36">
        <v>5961</v>
      </c>
      <c r="B96" s="48" t="s">
        <v>145</v>
      </c>
      <c r="C96" s="48">
        <v>1</v>
      </c>
      <c r="D96" s="48">
        <v>5</v>
      </c>
      <c r="E96" s="49">
        <v>25920000</v>
      </c>
      <c r="F96" s="48">
        <v>0</v>
      </c>
      <c r="G96" s="48">
        <v>0</v>
      </c>
      <c r="H96" s="48">
        <v>1958000</v>
      </c>
    </row>
    <row r="97" spans="1:8" x14ac:dyDescent="0.65">
      <c r="A97" s="36">
        <v>5962</v>
      </c>
      <c r="B97" s="48" t="s">
        <v>146</v>
      </c>
      <c r="C97" s="48">
        <v>33</v>
      </c>
      <c r="D97" s="48">
        <v>5</v>
      </c>
      <c r="E97" s="49">
        <v>12960000</v>
      </c>
      <c r="F97" s="49">
        <v>40000000</v>
      </c>
      <c r="G97" s="48">
        <v>0</v>
      </c>
      <c r="H97" s="48">
        <v>1500000</v>
      </c>
    </row>
    <row r="98" spans="1:8" x14ac:dyDescent="0.65">
      <c r="A98" s="36">
        <v>5963</v>
      </c>
      <c r="B98" s="48" t="s">
        <v>217</v>
      </c>
      <c r="C98" s="48">
        <v>310</v>
      </c>
      <c r="D98" s="48">
        <v>5</v>
      </c>
      <c r="E98" s="48">
        <v>0</v>
      </c>
      <c r="F98" s="49">
        <v>40000000</v>
      </c>
      <c r="G98" s="48">
        <v>0</v>
      </c>
      <c r="H98" s="48">
        <v>4500000</v>
      </c>
    </row>
    <row r="99" spans="1:8" x14ac:dyDescent="0.65">
      <c r="A99" s="36">
        <v>5966</v>
      </c>
      <c r="B99" s="48" t="s">
        <v>147</v>
      </c>
      <c r="C99" s="48">
        <v>172</v>
      </c>
      <c r="D99" s="48">
        <v>5</v>
      </c>
      <c r="E99" s="49">
        <v>12960000</v>
      </c>
      <c r="F99" s="48">
        <v>0</v>
      </c>
      <c r="G99" s="48">
        <v>0</v>
      </c>
      <c r="H99" s="48">
        <v>0</v>
      </c>
    </row>
    <row r="100" spans="1:8" x14ac:dyDescent="0.65">
      <c r="A100" s="36">
        <v>5968</v>
      </c>
      <c r="B100" s="48" t="s">
        <v>149</v>
      </c>
      <c r="C100" s="48">
        <v>202</v>
      </c>
      <c r="D100" s="48">
        <v>5</v>
      </c>
      <c r="E100" s="49">
        <v>19440000</v>
      </c>
      <c r="F100" s="49">
        <v>40000000</v>
      </c>
      <c r="G100" s="48">
        <v>0</v>
      </c>
      <c r="H100" s="48">
        <v>0</v>
      </c>
    </row>
    <row r="101" spans="1:8" x14ac:dyDescent="0.65">
      <c r="A101" s="36">
        <v>5976</v>
      </c>
      <c r="B101" s="48" t="s">
        <v>150</v>
      </c>
      <c r="C101" s="48">
        <v>326</v>
      </c>
      <c r="D101" s="48">
        <v>5</v>
      </c>
      <c r="E101" s="49">
        <v>19440000</v>
      </c>
      <c r="F101" s="48">
        <v>0</v>
      </c>
      <c r="G101" s="48">
        <v>0</v>
      </c>
      <c r="H101" s="48">
        <v>1500000</v>
      </c>
    </row>
    <row r="102" spans="1:8" x14ac:dyDescent="0.65">
      <c r="A102" s="36">
        <v>5981</v>
      </c>
      <c r="B102" s="48" t="s">
        <v>222</v>
      </c>
      <c r="C102" s="48">
        <v>335</v>
      </c>
      <c r="D102" s="48">
        <v>5</v>
      </c>
      <c r="E102" s="48">
        <v>0</v>
      </c>
      <c r="F102" s="49">
        <v>40000000</v>
      </c>
      <c r="G102" s="48">
        <v>0</v>
      </c>
      <c r="H102" s="48">
        <v>2110570</v>
      </c>
    </row>
    <row r="103" spans="1:8" x14ac:dyDescent="0.65">
      <c r="A103" s="36">
        <v>5988</v>
      </c>
      <c r="B103" s="48" t="s">
        <v>152</v>
      </c>
      <c r="C103" s="48">
        <v>323</v>
      </c>
      <c r="D103" s="48">
        <v>5</v>
      </c>
      <c r="E103" s="49">
        <v>32400000</v>
      </c>
      <c r="F103" s="48">
        <v>0</v>
      </c>
      <c r="G103" s="48">
        <v>0</v>
      </c>
      <c r="H103" s="48">
        <v>0</v>
      </c>
    </row>
    <row r="104" spans="1:8" x14ac:dyDescent="0.65">
      <c r="A104" s="36">
        <v>5992</v>
      </c>
      <c r="B104" s="48" t="s">
        <v>154</v>
      </c>
      <c r="C104" s="48">
        <v>325</v>
      </c>
      <c r="D104" s="48">
        <v>5</v>
      </c>
      <c r="E104" s="49">
        <v>19440000</v>
      </c>
      <c r="F104" s="48">
        <v>0</v>
      </c>
      <c r="G104" s="48">
        <v>0</v>
      </c>
      <c r="H104" s="48">
        <v>1560450</v>
      </c>
    </row>
    <row r="105" spans="1:8" x14ac:dyDescent="0.65">
      <c r="A105" s="36">
        <v>5995</v>
      </c>
      <c r="B105" s="48" t="s">
        <v>155</v>
      </c>
      <c r="C105" s="48">
        <v>328</v>
      </c>
      <c r="D105" s="48">
        <v>5</v>
      </c>
      <c r="E105" s="49">
        <v>6480000</v>
      </c>
      <c r="F105" s="48">
        <v>0</v>
      </c>
      <c r="G105" s="48">
        <v>0</v>
      </c>
      <c r="H105" s="48">
        <v>1050000</v>
      </c>
    </row>
    <row r="106" spans="1:8" x14ac:dyDescent="0.65">
      <c r="A106" s="36">
        <v>6004</v>
      </c>
      <c r="B106" s="48" t="s">
        <v>158</v>
      </c>
      <c r="C106" s="48">
        <v>352</v>
      </c>
      <c r="D106" s="48">
        <v>5</v>
      </c>
      <c r="E106" s="49">
        <v>25920000</v>
      </c>
      <c r="F106" s="48">
        <v>0</v>
      </c>
      <c r="G106" s="48">
        <v>0</v>
      </c>
      <c r="H106" s="48">
        <v>0</v>
      </c>
    </row>
    <row r="107" spans="1:8" x14ac:dyDescent="0.65">
      <c r="A107" s="36">
        <v>6005</v>
      </c>
      <c r="B107" s="48" t="s">
        <v>228</v>
      </c>
      <c r="C107" s="48">
        <v>377</v>
      </c>
      <c r="D107" s="48">
        <v>5</v>
      </c>
      <c r="E107" s="48">
        <v>0</v>
      </c>
      <c r="F107" s="49">
        <v>249999999</v>
      </c>
      <c r="G107" s="48">
        <v>0</v>
      </c>
      <c r="H107" s="48">
        <v>0</v>
      </c>
    </row>
    <row r="108" spans="1:8" x14ac:dyDescent="0.65">
      <c r="A108" s="36">
        <v>6006</v>
      </c>
      <c r="B108" s="48" t="s">
        <v>159</v>
      </c>
      <c r="C108" s="48">
        <v>341</v>
      </c>
      <c r="D108" s="48">
        <v>5</v>
      </c>
      <c r="E108" s="49">
        <v>6480000</v>
      </c>
      <c r="F108" s="48">
        <v>0</v>
      </c>
      <c r="G108" s="48">
        <v>0</v>
      </c>
      <c r="H108" s="48">
        <v>1500000</v>
      </c>
    </row>
    <row r="109" spans="1:8" x14ac:dyDescent="0.65">
      <c r="A109" s="36">
        <v>6015</v>
      </c>
      <c r="B109" s="48" t="s">
        <v>162</v>
      </c>
      <c r="C109" s="48">
        <v>359</v>
      </c>
      <c r="D109" s="48">
        <v>5</v>
      </c>
      <c r="E109" s="48">
        <v>0</v>
      </c>
      <c r="F109" s="49">
        <v>40000000</v>
      </c>
      <c r="G109" s="48">
        <v>0</v>
      </c>
      <c r="H109" s="48">
        <v>1744000</v>
      </c>
    </row>
    <row r="110" spans="1:8" x14ac:dyDescent="0.65">
      <c r="A110" s="36">
        <v>6018</v>
      </c>
      <c r="B110" s="48" t="s">
        <v>165</v>
      </c>
      <c r="C110" s="48">
        <v>368</v>
      </c>
      <c r="D110" s="48">
        <v>5</v>
      </c>
      <c r="E110" s="49">
        <v>19440000</v>
      </c>
      <c r="F110" s="49">
        <v>40000000</v>
      </c>
      <c r="G110" s="48">
        <v>0</v>
      </c>
      <c r="H110" s="48">
        <v>1500000</v>
      </c>
    </row>
    <row r="111" spans="1:8" x14ac:dyDescent="0.65">
      <c r="A111" s="36">
        <v>6020</v>
      </c>
      <c r="B111" s="48" t="s">
        <v>167</v>
      </c>
      <c r="C111" s="48">
        <v>425</v>
      </c>
      <c r="D111" s="48">
        <v>5</v>
      </c>
      <c r="E111" s="48">
        <v>0</v>
      </c>
      <c r="F111" s="48">
        <v>0</v>
      </c>
      <c r="G111" s="49">
        <v>13783502</v>
      </c>
      <c r="H111" s="48">
        <v>0</v>
      </c>
    </row>
    <row r="112" spans="1:8" x14ac:dyDescent="0.65">
      <c r="A112" s="36">
        <v>6025</v>
      </c>
      <c r="B112" s="48" t="s">
        <v>169</v>
      </c>
      <c r="C112" s="48">
        <v>369</v>
      </c>
      <c r="D112" s="48">
        <v>5</v>
      </c>
      <c r="E112" s="48">
        <v>0</v>
      </c>
      <c r="F112" s="49">
        <v>25000000</v>
      </c>
      <c r="G112" s="48">
        <v>0</v>
      </c>
      <c r="H112" s="48">
        <v>0</v>
      </c>
    </row>
    <row r="113" spans="1:8" x14ac:dyDescent="0.65">
      <c r="A113" s="36">
        <v>6026</v>
      </c>
      <c r="B113" s="48" t="s">
        <v>170</v>
      </c>
      <c r="C113" s="48">
        <v>370</v>
      </c>
      <c r="D113" s="48">
        <v>5</v>
      </c>
      <c r="E113" s="49">
        <v>6480000</v>
      </c>
      <c r="F113" s="48">
        <v>0</v>
      </c>
      <c r="G113" s="48">
        <v>0</v>
      </c>
      <c r="H113" s="48">
        <v>0</v>
      </c>
    </row>
    <row r="114" spans="1:8" x14ac:dyDescent="0.65">
      <c r="A114" s="36">
        <v>6028</v>
      </c>
      <c r="B114" s="48" t="s">
        <v>171</v>
      </c>
      <c r="C114" s="48">
        <v>398</v>
      </c>
      <c r="D114" s="48">
        <v>5</v>
      </c>
      <c r="E114" s="49">
        <v>12960000</v>
      </c>
      <c r="F114" s="48">
        <v>0</v>
      </c>
      <c r="G114" s="48">
        <v>0</v>
      </c>
      <c r="H114" s="48">
        <v>0</v>
      </c>
    </row>
    <row r="115" spans="1:8" x14ac:dyDescent="0.65">
      <c r="A115" s="36">
        <v>6037</v>
      </c>
      <c r="B115" s="48" t="s">
        <v>174</v>
      </c>
      <c r="C115" s="48">
        <v>387</v>
      </c>
      <c r="D115" s="48">
        <v>5</v>
      </c>
      <c r="E115" s="49">
        <v>25920000</v>
      </c>
      <c r="F115" s="49">
        <v>33333333</v>
      </c>
      <c r="G115" s="48">
        <v>0</v>
      </c>
      <c r="H115" s="48">
        <v>0</v>
      </c>
    </row>
    <row r="116" spans="1:8" x14ac:dyDescent="0.65">
      <c r="A116" s="36">
        <v>6041</v>
      </c>
      <c r="B116" s="48" t="s">
        <v>175</v>
      </c>
      <c r="C116" s="48">
        <v>338</v>
      </c>
      <c r="D116" s="48">
        <v>5</v>
      </c>
      <c r="E116" s="49">
        <v>25920000</v>
      </c>
      <c r="F116" s="48">
        <v>0</v>
      </c>
      <c r="G116" s="48">
        <v>0</v>
      </c>
      <c r="H116" s="48">
        <v>0</v>
      </c>
    </row>
    <row r="117" spans="1:8" x14ac:dyDescent="0.65">
      <c r="A117" s="36">
        <v>6042</v>
      </c>
      <c r="B117" s="48" t="s">
        <v>176</v>
      </c>
      <c r="C117" s="48">
        <v>378</v>
      </c>
      <c r="D117" s="48">
        <v>5</v>
      </c>
      <c r="E117" s="49">
        <v>6480000</v>
      </c>
      <c r="F117" s="48">
        <v>0</v>
      </c>
      <c r="G117" s="48">
        <v>0</v>
      </c>
      <c r="H117" s="48">
        <v>1500000</v>
      </c>
    </row>
    <row r="118" spans="1:8" x14ac:dyDescent="0.65">
      <c r="A118" s="36">
        <v>6045</v>
      </c>
      <c r="B118" s="48" t="s">
        <v>178</v>
      </c>
      <c r="C118" s="48">
        <v>388</v>
      </c>
      <c r="D118" s="48">
        <v>5</v>
      </c>
      <c r="E118" s="49">
        <v>12960000</v>
      </c>
      <c r="F118" s="48">
        <v>0</v>
      </c>
      <c r="G118" s="48">
        <v>0</v>
      </c>
      <c r="H118" s="48">
        <v>0</v>
      </c>
    </row>
    <row r="119" spans="1:8" x14ac:dyDescent="0.65">
      <c r="A119" s="36">
        <v>6046</v>
      </c>
      <c r="B119" s="48" t="s">
        <v>179</v>
      </c>
      <c r="C119" s="48">
        <v>396</v>
      </c>
      <c r="D119" s="48">
        <v>5</v>
      </c>
      <c r="E119" s="48">
        <v>0</v>
      </c>
      <c r="F119" s="49">
        <v>40000000</v>
      </c>
      <c r="G119" s="48">
        <v>0</v>
      </c>
      <c r="H119" s="48">
        <v>8391000</v>
      </c>
    </row>
    <row r="120" spans="1:8" x14ac:dyDescent="0.65">
      <c r="A120" s="36">
        <v>6055</v>
      </c>
      <c r="B120" s="48" t="s">
        <v>180</v>
      </c>
      <c r="C120" s="48">
        <v>400</v>
      </c>
      <c r="D120" s="48">
        <v>5</v>
      </c>
      <c r="E120" s="49">
        <v>6480000</v>
      </c>
      <c r="F120" s="48">
        <v>0</v>
      </c>
      <c r="G120" s="48">
        <v>0</v>
      </c>
      <c r="H120" s="48">
        <v>1500000</v>
      </c>
    </row>
    <row r="121" spans="1:8" x14ac:dyDescent="0.65">
      <c r="A121" s="36">
        <v>6059</v>
      </c>
      <c r="B121" s="48" t="s">
        <v>182</v>
      </c>
      <c r="C121" s="48">
        <v>201</v>
      </c>
      <c r="D121" s="48">
        <v>5</v>
      </c>
      <c r="E121" s="48">
        <v>0</v>
      </c>
      <c r="F121" s="48">
        <v>0</v>
      </c>
      <c r="G121" s="49">
        <v>25400739</v>
      </c>
      <c r="H121" s="48">
        <v>0</v>
      </c>
    </row>
    <row r="122" spans="1:8" x14ac:dyDescent="0.65">
      <c r="A122" s="36">
        <v>6064</v>
      </c>
      <c r="B122" s="48" t="s">
        <v>184</v>
      </c>
      <c r="C122" s="48">
        <v>412</v>
      </c>
      <c r="D122" s="48">
        <v>5</v>
      </c>
      <c r="E122" s="49">
        <v>12960000</v>
      </c>
      <c r="F122" s="48">
        <v>0</v>
      </c>
      <c r="G122" s="48">
        <v>0</v>
      </c>
      <c r="H122" s="48">
        <v>0</v>
      </c>
    </row>
    <row r="123" spans="1:8" x14ac:dyDescent="0.65">
      <c r="A123" s="36">
        <v>6069</v>
      </c>
      <c r="B123" s="48" t="s">
        <v>185</v>
      </c>
      <c r="C123" s="48">
        <v>418</v>
      </c>
      <c r="D123" s="48">
        <v>5</v>
      </c>
      <c r="E123" s="49">
        <v>12960000</v>
      </c>
      <c r="F123" s="48">
        <v>0</v>
      </c>
      <c r="G123" s="48">
        <v>0</v>
      </c>
      <c r="H123" s="48">
        <v>3172000</v>
      </c>
    </row>
    <row r="124" spans="1:8" x14ac:dyDescent="0.65">
      <c r="A124" s="36">
        <v>6079</v>
      </c>
      <c r="B124" s="48" t="s">
        <v>189</v>
      </c>
      <c r="C124" s="48">
        <v>433</v>
      </c>
      <c r="D124" s="48">
        <v>5</v>
      </c>
      <c r="E124" s="49">
        <v>19440000</v>
      </c>
      <c r="F124" s="48">
        <v>0</v>
      </c>
      <c r="G124" s="48">
        <v>0</v>
      </c>
      <c r="H124" s="48">
        <v>0</v>
      </c>
    </row>
    <row r="125" spans="1:8" x14ac:dyDescent="0.65">
      <c r="A125" s="36">
        <v>6084</v>
      </c>
      <c r="B125" s="48" t="s">
        <v>190</v>
      </c>
      <c r="C125" s="48">
        <v>416</v>
      </c>
      <c r="D125" s="48">
        <v>5</v>
      </c>
      <c r="E125" s="49">
        <v>12960000</v>
      </c>
      <c r="F125" s="48">
        <v>0</v>
      </c>
      <c r="G125" s="48">
        <v>0</v>
      </c>
      <c r="H125" s="48">
        <v>1500000</v>
      </c>
    </row>
    <row r="126" spans="1:8" x14ac:dyDescent="0.65">
      <c r="A126" s="36">
        <v>6087</v>
      </c>
      <c r="B126" s="48" t="s">
        <v>191</v>
      </c>
      <c r="C126" s="48">
        <v>443</v>
      </c>
      <c r="D126" s="48">
        <v>5</v>
      </c>
      <c r="E126" s="49">
        <v>19440000</v>
      </c>
      <c r="F126" s="48">
        <v>0</v>
      </c>
      <c r="G126" s="48">
        <v>0</v>
      </c>
      <c r="H126" s="48">
        <v>10500000</v>
      </c>
    </row>
    <row r="127" spans="1:8" x14ac:dyDescent="0.65">
      <c r="A127" s="36">
        <v>6089</v>
      </c>
      <c r="B127" s="48" t="s">
        <v>193</v>
      </c>
      <c r="C127" s="48">
        <v>440</v>
      </c>
      <c r="D127" s="48">
        <v>5</v>
      </c>
      <c r="E127" s="49">
        <v>32400000</v>
      </c>
      <c r="F127" s="48">
        <v>0</v>
      </c>
      <c r="G127" s="49">
        <v>724350</v>
      </c>
      <c r="H127" s="48">
        <v>3000000</v>
      </c>
    </row>
    <row r="128" spans="1:8" x14ac:dyDescent="0.65">
      <c r="A128" s="36">
        <v>6092</v>
      </c>
      <c r="B128" s="48" t="s">
        <v>194</v>
      </c>
      <c r="C128" s="48">
        <v>445</v>
      </c>
      <c r="D128" s="48">
        <v>5</v>
      </c>
      <c r="E128" s="49">
        <v>6480000</v>
      </c>
      <c r="F128" s="48">
        <v>0</v>
      </c>
      <c r="G128" s="48">
        <v>0</v>
      </c>
      <c r="H128" s="48">
        <v>0</v>
      </c>
    </row>
    <row r="129" spans="1:8" x14ac:dyDescent="0.65">
      <c r="A129" s="36">
        <v>6093</v>
      </c>
      <c r="B129" s="48" t="s">
        <v>195</v>
      </c>
      <c r="C129" s="48">
        <v>447</v>
      </c>
      <c r="D129" s="48">
        <v>5</v>
      </c>
      <c r="E129" s="49">
        <v>25920000</v>
      </c>
      <c r="F129" s="48">
        <v>0</v>
      </c>
      <c r="G129" s="48">
        <v>0</v>
      </c>
      <c r="H129" s="48">
        <v>0</v>
      </c>
    </row>
    <row r="130" spans="1:8" x14ac:dyDescent="0.65">
      <c r="A130" s="36">
        <v>6099</v>
      </c>
      <c r="B130" s="48" t="s">
        <v>199</v>
      </c>
      <c r="C130" s="48">
        <v>468</v>
      </c>
      <c r="D130" s="48">
        <v>5</v>
      </c>
      <c r="E130" s="49">
        <v>12960000</v>
      </c>
      <c r="F130" s="48">
        <v>0</v>
      </c>
      <c r="G130" s="48">
        <v>0</v>
      </c>
      <c r="H130" s="48">
        <v>8000000</v>
      </c>
    </row>
    <row r="131" spans="1:8" x14ac:dyDescent="0.65">
      <c r="A131" s="36">
        <v>6102</v>
      </c>
      <c r="B131" s="48" t="s">
        <v>200</v>
      </c>
      <c r="C131" s="48">
        <v>459</v>
      </c>
      <c r="D131" s="48">
        <v>5</v>
      </c>
      <c r="E131" s="49">
        <v>25920000</v>
      </c>
      <c r="F131" s="48">
        <v>0</v>
      </c>
      <c r="G131" s="48">
        <v>0</v>
      </c>
      <c r="H131" s="48">
        <v>0</v>
      </c>
    </row>
    <row r="132" spans="1:8" x14ac:dyDescent="0.65">
      <c r="A132" s="36">
        <v>6105</v>
      </c>
      <c r="B132" s="48" t="s">
        <v>245</v>
      </c>
      <c r="C132" s="48">
        <v>461</v>
      </c>
      <c r="D132" s="48">
        <v>5</v>
      </c>
      <c r="E132" s="49">
        <v>25920000</v>
      </c>
      <c r="F132" s="48">
        <v>0</v>
      </c>
      <c r="G132" s="48">
        <v>0</v>
      </c>
      <c r="H132" s="48">
        <v>0</v>
      </c>
    </row>
    <row r="133" spans="1:8" x14ac:dyDescent="0.65">
      <c r="A133" s="36">
        <v>6112</v>
      </c>
      <c r="B133" s="48" t="s">
        <v>239</v>
      </c>
      <c r="C133" s="48">
        <v>456</v>
      </c>
      <c r="D133" s="48">
        <v>5</v>
      </c>
      <c r="E133" s="49">
        <v>19440000</v>
      </c>
      <c r="F133" s="48">
        <v>0</v>
      </c>
      <c r="G133" s="48">
        <v>0</v>
      </c>
      <c r="H133" s="48">
        <v>0</v>
      </c>
    </row>
    <row r="134" spans="1:8" x14ac:dyDescent="0.65">
      <c r="A134" s="36">
        <v>6113</v>
      </c>
      <c r="B134" s="48" t="s">
        <v>240</v>
      </c>
      <c r="C134" s="48">
        <v>488</v>
      </c>
      <c r="D134" s="48">
        <v>5</v>
      </c>
      <c r="E134" s="49">
        <v>12960000</v>
      </c>
      <c r="F134" s="48">
        <v>0</v>
      </c>
      <c r="G134" s="48">
        <v>0</v>
      </c>
      <c r="H134" s="48">
        <v>0</v>
      </c>
    </row>
    <row r="135" spans="1:8" x14ac:dyDescent="0.65">
      <c r="A135" s="36">
        <v>6114</v>
      </c>
      <c r="B135" s="48" t="s">
        <v>241</v>
      </c>
      <c r="C135" s="48">
        <v>467</v>
      </c>
      <c r="D135" s="48">
        <v>5</v>
      </c>
      <c r="E135" s="49">
        <v>19440000</v>
      </c>
      <c r="F135" s="48">
        <v>0</v>
      </c>
      <c r="G135" s="48">
        <v>0</v>
      </c>
      <c r="H135" s="48">
        <v>4000000</v>
      </c>
    </row>
    <row r="136" spans="1:8" x14ac:dyDescent="0.65">
      <c r="A136" s="36">
        <v>6116</v>
      </c>
      <c r="B136" s="48" t="s">
        <v>242</v>
      </c>
      <c r="C136" s="48">
        <v>485</v>
      </c>
      <c r="D136" s="48">
        <v>5</v>
      </c>
      <c r="E136" s="49">
        <v>58320000</v>
      </c>
      <c r="F136" s="48">
        <v>0</v>
      </c>
      <c r="G136" s="48">
        <v>0</v>
      </c>
      <c r="H136" s="48">
        <v>0</v>
      </c>
    </row>
    <row r="137" spans="1:8" x14ac:dyDescent="0.65">
      <c r="A137" s="36">
        <v>6123</v>
      </c>
      <c r="B137" s="48" t="s">
        <v>264</v>
      </c>
      <c r="C137" s="48">
        <v>484</v>
      </c>
      <c r="D137" s="48">
        <v>5</v>
      </c>
      <c r="E137" s="49">
        <v>38880000</v>
      </c>
      <c r="F137" s="48">
        <v>0</v>
      </c>
      <c r="G137" s="48">
        <v>0</v>
      </c>
      <c r="H137" s="48">
        <v>3377000</v>
      </c>
    </row>
    <row r="138" spans="1:8" x14ac:dyDescent="0.65">
      <c r="A138" s="36">
        <v>6133</v>
      </c>
      <c r="B138" s="48" t="s">
        <v>265</v>
      </c>
      <c r="C138" s="48">
        <v>501</v>
      </c>
      <c r="D138" s="48">
        <v>5</v>
      </c>
      <c r="E138" s="48">
        <v>0</v>
      </c>
      <c r="F138" s="49">
        <v>330000000</v>
      </c>
      <c r="G138" s="48">
        <v>0</v>
      </c>
      <c r="H138" s="48">
        <v>0</v>
      </c>
    </row>
    <row r="139" spans="1:8" x14ac:dyDescent="0.65">
      <c r="A139" s="36">
        <v>6136</v>
      </c>
      <c r="B139" s="48" t="s">
        <v>266</v>
      </c>
      <c r="C139" s="48">
        <v>506</v>
      </c>
      <c r="D139" s="48">
        <v>5</v>
      </c>
      <c r="E139" s="49">
        <v>25920000</v>
      </c>
      <c r="F139" s="48">
        <v>0</v>
      </c>
      <c r="G139" s="48">
        <v>0</v>
      </c>
      <c r="H139" s="48">
        <v>0</v>
      </c>
    </row>
    <row r="140" spans="1:8" x14ac:dyDescent="0.65">
      <c r="A140" s="36">
        <v>6447</v>
      </c>
      <c r="B140" s="48" t="s">
        <v>204</v>
      </c>
      <c r="C140" s="48">
        <v>91</v>
      </c>
      <c r="D140" s="48">
        <v>5</v>
      </c>
      <c r="E140" s="49">
        <v>19440000</v>
      </c>
      <c r="F140" s="48">
        <v>0</v>
      </c>
      <c r="G140" s="48">
        <v>0</v>
      </c>
      <c r="H140" s="48">
        <v>0</v>
      </c>
    </row>
    <row r="141" spans="1:8" x14ac:dyDescent="0.65">
      <c r="A141" s="36">
        <v>9015</v>
      </c>
      <c r="B141" s="48" t="s">
        <v>205</v>
      </c>
      <c r="C141" s="48">
        <v>4</v>
      </c>
      <c r="D141" s="48">
        <v>5</v>
      </c>
      <c r="E141" s="49">
        <v>6480000</v>
      </c>
      <c r="F141" s="48">
        <v>0</v>
      </c>
      <c r="G141" s="48">
        <v>0</v>
      </c>
      <c r="H141" s="48">
        <v>0</v>
      </c>
    </row>
    <row r="142" spans="1:8" x14ac:dyDescent="0.65">
      <c r="A142" s="36">
        <v>4687</v>
      </c>
      <c r="B142" s="48" t="s">
        <v>250</v>
      </c>
      <c r="C142" s="48">
        <v>136</v>
      </c>
      <c r="D142" s="48">
        <v>5</v>
      </c>
      <c r="E142" s="48">
        <v>0</v>
      </c>
      <c r="F142" s="48">
        <v>0</v>
      </c>
      <c r="G142" s="48">
        <v>0</v>
      </c>
      <c r="H142" s="48">
        <v>2000000</v>
      </c>
    </row>
    <row r="143" spans="1:8" x14ac:dyDescent="0.65">
      <c r="A143" s="36">
        <v>4701</v>
      </c>
      <c r="B143" s="48" t="s">
        <v>40</v>
      </c>
      <c r="C143" s="48">
        <v>138</v>
      </c>
      <c r="D143" s="48">
        <v>5</v>
      </c>
      <c r="E143" s="48">
        <v>0</v>
      </c>
      <c r="F143" s="48">
        <v>0</v>
      </c>
      <c r="G143" s="48">
        <v>0</v>
      </c>
      <c r="H143" s="48">
        <v>1500000</v>
      </c>
    </row>
    <row r="144" spans="1:8" x14ac:dyDescent="0.65">
      <c r="A144" s="36">
        <v>5653</v>
      </c>
      <c r="B144" s="48" t="s">
        <v>210</v>
      </c>
      <c r="C144" s="48">
        <v>464</v>
      </c>
      <c r="D144" s="48">
        <v>5</v>
      </c>
      <c r="E144" s="48">
        <v>0</v>
      </c>
      <c r="F144" s="48">
        <v>0</v>
      </c>
      <c r="G144" s="48">
        <v>0</v>
      </c>
      <c r="H144" s="48">
        <v>7500000</v>
      </c>
    </row>
    <row r="145" spans="1:8" x14ac:dyDescent="0.65">
      <c r="A145" s="36">
        <v>5671</v>
      </c>
      <c r="B145" s="48" t="s">
        <v>65</v>
      </c>
      <c r="C145" s="48">
        <v>128</v>
      </c>
      <c r="D145" s="48">
        <v>5</v>
      </c>
      <c r="E145" s="48">
        <v>0</v>
      </c>
      <c r="F145" s="48">
        <v>0</v>
      </c>
      <c r="G145" s="48">
        <v>0</v>
      </c>
      <c r="H145" s="48">
        <v>1921000</v>
      </c>
    </row>
    <row r="146" spans="1:8" x14ac:dyDescent="0.65">
      <c r="A146" s="36">
        <v>5769</v>
      </c>
      <c r="B146" s="48" t="s">
        <v>251</v>
      </c>
      <c r="C146" s="48">
        <v>186</v>
      </c>
      <c r="D146" s="48">
        <v>5</v>
      </c>
      <c r="E146" s="48">
        <v>0</v>
      </c>
      <c r="F146" s="48">
        <v>0</v>
      </c>
      <c r="G146" s="48">
        <v>0</v>
      </c>
      <c r="H146" s="48">
        <v>1500000</v>
      </c>
    </row>
    <row r="147" spans="1:8" x14ac:dyDescent="0.65">
      <c r="A147" s="36">
        <v>5824</v>
      </c>
      <c r="B147" s="48" t="s">
        <v>94</v>
      </c>
      <c r="C147" s="48">
        <v>41</v>
      </c>
      <c r="D147" s="48">
        <v>5</v>
      </c>
      <c r="E147" s="48">
        <v>0</v>
      </c>
      <c r="F147" s="48">
        <v>0</v>
      </c>
      <c r="G147" s="48">
        <v>0</v>
      </c>
      <c r="H147" s="48">
        <v>1700000</v>
      </c>
    </row>
    <row r="148" spans="1:8" x14ac:dyDescent="0.65">
      <c r="A148" s="36">
        <v>5827</v>
      </c>
      <c r="B148" s="48" t="s">
        <v>95</v>
      </c>
      <c r="C148" s="48">
        <v>53</v>
      </c>
      <c r="D148" s="48">
        <v>5</v>
      </c>
      <c r="E148" s="48">
        <v>0</v>
      </c>
      <c r="F148" s="48">
        <v>0</v>
      </c>
      <c r="G148" s="48">
        <v>0</v>
      </c>
      <c r="H148" s="48">
        <v>2377470</v>
      </c>
    </row>
    <row r="149" spans="1:8" x14ac:dyDescent="0.65">
      <c r="A149" s="36">
        <v>5833</v>
      </c>
      <c r="B149" s="48" t="s">
        <v>98</v>
      </c>
      <c r="C149" s="48">
        <v>125</v>
      </c>
      <c r="D149" s="48">
        <v>5</v>
      </c>
      <c r="E149" s="48">
        <v>0</v>
      </c>
      <c r="F149" s="48">
        <v>0</v>
      </c>
      <c r="G149" s="48">
        <v>0</v>
      </c>
      <c r="H149" s="48">
        <v>1500000</v>
      </c>
    </row>
    <row r="150" spans="1:8" x14ac:dyDescent="0.65">
      <c r="A150" s="36">
        <v>5851</v>
      </c>
      <c r="B150" s="48" t="s">
        <v>105</v>
      </c>
      <c r="C150" s="48">
        <v>117</v>
      </c>
      <c r="D150" s="48">
        <v>5</v>
      </c>
      <c r="E150" s="48">
        <v>0</v>
      </c>
      <c r="F150" s="48">
        <v>0</v>
      </c>
      <c r="G150" s="48">
        <v>0</v>
      </c>
      <c r="H150" s="48">
        <v>3000000</v>
      </c>
    </row>
    <row r="151" spans="1:8" x14ac:dyDescent="0.65">
      <c r="A151" s="36">
        <v>5876</v>
      </c>
      <c r="B151" s="48" t="s">
        <v>249</v>
      </c>
      <c r="C151" s="48">
        <v>127</v>
      </c>
      <c r="D151" s="48">
        <v>5</v>
      </c>
      <c r="E151" s="48">
        <v>0</v>
      </c>
      <c r="F151" s="48">
        <v>0</v>
      </c>
      <c r="G151" s="48">
        <v>0</v>
      </c>
      <c r="H151" s="48">
        <v>9000000</v>
      </c>
    </row>
    <row r="152" spans="1:8" x14ac:dyDescent="0.65">
      <c r="A152" s="36">
        <v>5945</v>
      </c>
      <c r="B152" s="48" t="s">
        <v>140</v>
      </c>
      <c r="C152" s="48">
        <v>183</v>
      </c>
      <c r="D152" s="48">
        <v>5</v>
      </c>
      <c r="E152" s="48">
        <v>0</v>
      </c>
      <c r="F152" s="48">
        <v>0</v>
      </c>
      <c r="G152" s="48">
        <v>0</v>
      </c>
      <c r="H152" s="48">
        <v>3000000</v>
      </c>
    </row>
    <row r="153" spans="1:8" x14ac:dyDescent="0.65">
      <c r="A153" s="36">
        <v>5958</v>
      </c>
      <c r="B153" s="48" t="s">
        <v>143</v>
      </c>
      <c r="C153" s="48">
        <v>309</v>
      </c>
      <c r="D153" s="48">
        <v>5</v>
      </c>
      <c r="E153" s="48">
        <v>0</v>
      </c>
      <c r="F153" s="48">
        <v>0</v>
      </c>
      <c r="G153" s="48">
        <v>0</v>
      </c>
      <c r="H153" s="48">
        <v>13500000</v>
      </c>
    </row>
    <row r="154" spans="1:8" x14ac:dyDescent="0.65">
      <c r="A154" s="36">
        <v>5964</v>
      </c>
      <c r="B154" s="48" t="s">
        <v>252</v>
      </c>
      <c r="C154" s="48">
        <v>300</v>
      </c>
      <c r="D154" s="48">
        <v>5</v>
      </c>
      <c r="E154" s="48">
        <v>0</v>
      </c>
      <c r="F154" s="48">
        <v>0</v>
      </c>
      <c r="G154" s="48">
        <v>0</v>
      </c>
      <c r="H154" s="48">
        <v>1628000</v>
      </c>
    </row>
    <row r="155" spans="1:8" x14ac:dyDescent="0.65">
      <c r="A155" s="36">
        <v>5970</v>
      </c>
      <c r="B155" s="48" t="s">
        <v>218</v>
      </c>
      <c r="C155" s="48">
        <v>204</v>
      </c>
      <c r="D155" s="48">
        <v>5</v>
      </c>
      <c r="E155" s="48">
        <v>0</v>
      </c>
      <c r="F155" s="48">
        <v>0</v>
      </c>
      <c r="G155" s="48">
        <v>0</v>
      </c>
      <c r="H155" s="48">
        <v>1500000</v>
      </c>
    </row>
    <row r="156" spans="1:8" x14ac:dyDescent="0.65">
      <c r="A156" s="36">
        <v>6000</v>
      </c>
      <c r="B156" s="48" t="s">
        <v>254</v>
      </c>
      <c r="C156" s="48">
        <v>363</v>
      </c>
      <c r="D156" s="48">
        <v>5</v>
      </c>
      <c r="E156" s="48">
        <v>0</v>
      </c>
      <c r="F156" s="48">
        <v>0</v>
      </c>
      <c r="G156" s="48">
        <v>0</v>
      </c>
      <c r="H156" s="48">
        <v>1500000</v>
      </c>
    </row>
    <row r="157" spans="1:8" x14ac:dyDescent="0.65">
      <c r="A157" s="36">
        <v>6008</v>
      </c>
      <c r="B157" s="48" t="s">
        <v>253</v>
      </c>
      <c r="C157" s="48">
        <v>336</v>
      </c>
      <c r="D157" s="48">
        <v>5</v>
      </c>
      <c r="E157" s="48">
        <v>0</v>
      </c>
      <c r="F157" s="48">
        <v>0</v>
      </c>
      <c r="G157" s="48">
        <v>0</v>
      </c>
      <c r="H157" s="48">
        <v>1500000</v>
      </c>
    </row>
    <row r="158" spans="1:8" x14ac:dyDescent="0.65">
      <c r="A158" s="36">
        <v>6016</v>
      </c>
      <c r="B158" s="48" t="s">
        <v>163</v>
      </c>
      <c r="C158" s="48">
        <v>375</v>
      </c>
      <c r="D158" s="48">
        <v>5</v>
      </c>
      <c r="E158" s="48">
        <v>0</v>
      </c>
      <c r="F158" s="48">
        <v>0</v>
      </c>
      <c r="G158" s="48">
        <v>0</v>
      </c>
      <c r="H158" s="48">
        <v>2699000</v>
      </c>
    </row>
    <row r="159" spans="1:8" x14ac:dyDescent="0.65">
      <c r="A159" s="36">
        <v>6034</v>
      </c>
      <c r="B159" s="48" t="s">
        <v>255</v>
      </c>
      <c r="C159" s="48">
        <v>379</v>
      </c>
      <c r="D159" s="48">
        <v>5</v>
      </c>
      <c r="E159" s="48">
        <v>0</v>
      </c>
      <c r="F159" s="48">
        <v>0</v>
      </c>
      <c r="G159" s="48">
        <v>0</v>
      </c>
      <c r="H159" s="48">
        <v>1500000</v>
      </c>
    </row>
    <row r="160" spans="1:8" x14ac:dyDescent="0.65">
      <c r="A160" s="36">
        <v>6038</v>
      </c>
      <c r="B160" s="48" t="s">
        <v>256</v>
      </c>
      <c r="C160" s="48">
        <v>380</v>
      </c>
      <c r="D160" s="48">
        <v>5</v>
      </c>
      <c r="E160" s="48">
        <v>0</v>
      </c>
      <c r="F160" s="48">
        <v>0</v>
      </c>
      <c r="G160" s="48">
        <v>0</v>
      </c>
      <c r="H160" s="48">
        <v>3000000</v>
      </c>
    </row>
    <row r="161" spans="1:8" x14ac:dyDescent="0.65">
      <c r="A161" s="36">
        <v>6044</v>
      </c>
      <c r="B161" s="48" t="s">
        <v>177</v>
      </c>
      <c r="C161" s="48">
        <v>393</v>
      </c>
      <c r="D161" s="48">
        <v>5</v>
      </c>
      <c r="E161" s="48">
        <v>0</v>
      </c>
      <c r="F161" s="48">
        <v>0</v>
      </c>
      <c r="G161" s="48">
        <v>0</v>
      </c>
      <c r="H161" s="48">
        <v>1080000</v>
      </c>
    </row>
    <row r="162" spans="1:8" x14ac:dyDescent="0.65">
      <c r="A162" s="36">
        <v>6047</v>
      </c>
      <c r="B162" s="48" t="s">
        <v>257</v>
      </c>
      <c r="C162" s="48">
        <v>392</v>
      </c>
      <c r="D162" s="48">
        <v>5</v>
      </c>
      <c r="E162" s="48">
        <v>0</v>
      </c>
      <c r="F162" s="48">
        <v>0</v>
      </c>
      <c r="G162" s="48">
        <v>0</v>
      </c>
      <c r="H162" s="48">
        <v>1500000</v>
      </c>
    </row>
    <row r="163" spans="1:8" x14ac:dyDescent="0.65">
      <c r="A163" s="36">
        <v>6058</v>
      </c>
      <c r="B163" s="48" t="s">
        <v>258</v>
      </c>
      <c r="C163" s="48">
        <v>399</v>
      </c>
      <c r="D163" s="48">
        <v>5</v>
      </c>
      <c r="E163" s="48">
        <v>0</v>
      </c>
      <c r="F163" s="48">
        <v>0</v>
      </c>
      <c r="G163" s="48">
        <v>0</v>
      </c>
      <c r="H163" s="48">
        <v>612250</v>
      </c>
    </row>
    <row r="164" spans="1:8" x14ac:dyDescent="0.65">
      <c r="A164" s="36">
        <v>6061</v>
      </c>
      <c r="B164" s="48" t="s">
        <v>183</v>
      </c>
      <c r="C164" s="48">
        <v>407</v>
      </c>
      <c r="D164" s="48">
        <v>5</v>
      </c>
      <c r="E164" s="48">
        <v>0</v>
      </c>
      <c r="F164" s="48">
        <v>0</v>
      </c>
      <c r="G164" s="48">
        <v>0</v>
      </c>
      <c r="H164" s="48">
        <v>2201990</v>
      </c>
    </row>
    <row r="165" spans="1:8" x14ac:dyDescent="0.65">
      <c r="A165" s="36">
        <v>6065</v>
      </c>
      <c r="B165" s="48" t="s">
        <v>259</v>
      </c>
      <c r="C165" s="48">
        <v>441</v>
      </c>
      <c r="D165" s="48">
        <v>5</v>
      </c>
      <c r="E165" s="48">
        <v>0</v>
      </c>
      <c r="F165" s="48">
        <v>0</v>
      </c>
      <c r="G165" s="48">
        <v>0</v>
      </c>
      <c r="H165" s="48">
        <v>2000000</v>
      </c>
    </row>
    <row r="166" spans="1:8" x14ac:dyDescent="0.65">
      <c r="A166" s="36">
        <v>6071</v>
      </c>
      <c r="B166" s="48" t="s">
        <v>260</v>
      </c>
      <c r="C166" s="48">
        <v>442</v>
      </c>
      <c r="D166" s="48">
        <v>5</v>
      </c>
      <c r="E166" s="48">
        <v>0</v>
      </c>
      <c r="F166" s="48">
        <v>0</v>
      </c>
      <c r="G166" s="48">
        <v>0</v>
      </c>
      <c r="H166" s="48">
        <v>2000000</v>
      </c>
    </row>
    <row r="167" spans="1:8" x14ac:dyDescent="0.65">
      <c r="A167" s="36">
        <v>6072</v>
      </c>
      <c r="B167" s="48" t="s">
        <v>186</v>
      </c>
      <c r="C167" s="48">
        <v>426</v>
      </c>
      <c r="D167" s="48">
        <v>5</v>
      </c>
      <c r="E167" s="48">
        <v>0</v>
      </c>
      <c r="F167" s="48">
        <v>0</v>
      </c>
      <c r="G167" s="48">
        <v>0</v>
      </c>
      <c r="H167" s="48">
        <v>3825840</v>
      </c>
    </row>
    <row r="168" spans="1:8" x14ac:dyDescent="0.65">
      <c r="A168" s="36">
        <v>6100</v>
      </c>
      <c r="B168" s="48" t="s">
        <v>235</v>
      </c>
      <c r="C168" s="48">
        <v>460</v>
      </c>
      <c r="D168" s="48">
        <v>5</v>
      </c>
      <c r="E168" s="48">
        <v>0</v>
      </c>
      <c r="F168" s="48">
        <v>0</v>
      </c>
      <c r="G168" s="48">
        <v>0</v>
      </c>
      <c r="H168" s="48">
        <v>4500000</v>
      </c>
    </row>
    <row r="169" spans="1:8" x14ac:dyDescent="0.65">
      <c r="A169" s="36">
        <v>6101</v>
      </c>
      <c r="B169" s="48" t="s">
        <v>236</v>
      </c>
      <c r="C169" s="48">
        <v>462</v>
      </c>
      <c r="D169" s="48">
        <v>5</v>
      </c>
      <c r="E169" s="48">
        <v>0</v>
      </c>
      <c r="F169" s="48">
        <v>0</v>
      </c>
      <c r="G169" s="48">
        <v>0</v>
      </c>
      <c r="H169" s="48">
        <v>3000000</v>
      </c>
    </row>
    <row r="170" spans="1:8" x14ac:dyDescent="0.65">
      <c r="A170" s="36">
        <v>6109</v>
      </c>
      <c r="B170" s="48" t="s">
        <v>246</v>
      </c>
      <c r="C170" s="48">
        <v>458</v>
      </c>
      <c r="D170" s="48">
        <v>5</v>
      </c>
      <c r="E170" s="48">
        <v>0</v>
      </c>
      <c r="F170" s="48">
        <v>0</v>
      </c>
      <c r="G170" s="48">
        <v>0</v>
      </c>
      <c r="H170" s="48">
        <v>2816000</v>
      </c>
    </row>
    <row r="171" spans="1:8" x14ac:dyDescent="0.65">
      <c r="A171" s="36">
        <v>6110</v>
      </c>
      <c r="B171" s="48" t="s">
        <v>262</v>
      </c>
      <c r="C171" s="48">
        <v>476</v>
      </c>
      <c r="D171" s="48">
        <v>5</v>
      </c>
      <c r="E171" s="48">
        <v>0</v>
      </c>
      <c r="F171" s="48">
        <v>0</v>
      </c>
      <c r="G171" s="48">
        <v>0</v>
      </c>
      <c r="H171" s="48">
        <v>2916000</v>
      </c>
    </row>
    <row r="172" spans="1:8" x14ac:dyDescent="0.65">
      <c r="A172" s="36">
        <v>6111</v>
      </c>
      <c r="B172" s="48" t="s">
        <v>261</v>
      </c>
      <c r="C172" s="48">
        <v>451</v>
      </c>
      <c r="D172" s="48">
        <v>5</v>
      </c>
      <c r="E172" s="48">
        <v>0</v>
      </c>
      <c r="F172" s="48">
        <v>0</v>
      </c>
      <c r="G172" s="48">
        <v>0</v>
      </c>
      <c r="H172" s="48">
        <v>3000000</v>
      </c>
    </row>
  </sheetData>
  <autoFilter ref="A1:H172" xr:uid="{5B71FB1E-2236-4194-ADD6-A3DFAEC6E49C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EE3-ACC5-4559-97D3-6EA21F969E5D}">
  <dimension ref="A1:I146"/>
  <sheetViews>
    <sheetView rightToLeft="1" workbookViewId="0">
      <pane ySplit="1" topLeftCell="A2" activePane="bottomLeft" state="frozen"/>
      <selection pane="bottomLeft" activeCell="C12" sqref="C12"/>
    </sheetView>
  </sheetViews>
  <sheetFormatPr defaultRowHeight="22.5" x14ac:dyDescent="0.65"/>
  <cols>
    <col min="1" max="1" width="20.5" style="51" customWidth="1"/>
    <col min="2" max="2" width="24.25" style="22" bestFit="1" customWidth="1"/>
    <col min="3" max="3" width="12.375" style="54" bestFit="1" customWidth="1"/>
    <col min="4" max="4" width="2.625" style="54" bestFit="1" customWidth="1"/>
    <col min="5" max="7" width="15.625" style="2" customWidth="1"/>
    <col min="8" max="8" width="9" style="57"/>
    <col min="9" max="9" width="15.625" style="2" customWidth="1"/>
    <col min="10" max="16384" width="9" style="50"/>
  </cols>
  <sheetData>
    <row r="1" spans="1:9" x14ac:dyDescent="0.65">
      <c r="A1" s="52" t="s">
        <v>0</v>
      </c>
      <c r="B1" s="24" t="s">
        <v>1</v>
      </c>
      <c r="C1" s="41" t="s">
        <v>248</v>
      </c>
      <c r="D1" s="41" t="s">
        <v>206</v>
      </c>
      <c r="E1" s="55" t="s">
        <v>209</v>
      </c>
      <c r="F1" s="55" t="s">
        <v>207</v>
      </c>
      <c r="G1" s="55" t="s">
        <v>208</v>
      </c>
      <c r="H1" s="58" t="s">
        <v>247</v>
      </c>
      <c r="I1" s="55" t="s">
        <v>268</v>
      </c>
    </row>
    <row r="2" spans="1:9" x14ac:dyDescent="0.65">
      <c r="A2" s="53">
        <v>3567</v>
      </c>
      <c r="B2" s="24" t="s">
        <v>3</v>
      </c>
      <c r="C2" s="45">
        <v>57</v>
      </c>
      <c r="D2" s="45">
        <v>6</v>
      </c>
      <c r="E2" s="55">
        <v>0</v>
      </c>
      <c r="F2" s="55">
        <v>40000000</v>
      </c>
      <c r="G2" s="55">
        <v>0</v>
      </c>
      <c r="H2" s="56">
        <v>0</v>
      </c>
      <c r="I2" s="55">
        <v>0</v>
      </c>
    </row>
    <row r="3" spans="1:9" x14ac:dyDescent="0.65">
      <c r="A3" s="53">
        <v>3607</v>
      </c>
      <c r="B3" s="24" t="s">
        <v>4</v>
      </c>
      <c r="C3" s="45">
        <v>119</v>
      </c>
      <c r="D3" s="45">
        <v>6</v>
      </c>
      <c r="E3" s="55">
        <v>32400000</v>
      </c>
      <c r="F3" s="55">
        <v>0</v>
      </c>
      <c r="G3" s="55">
        <v>0</v>
      </c>
      <c r="H3" s="56">
        <v>0</v>
      </c>
      <c r="I3" s="55">
        <v>0</v>
      </c>
    </row>
    <row r="4" spans="1:9" x14ac:dyDescent="0.65">
      <c r="A4" s="53">
        <v>3653</v>
      </c>
      <c r="B4" s="24" t="s">
        <v>5</v>
      </c>
      <c r="C4" s="45">
        <v>34</v>
      </c>
      <c r="D4" s="45">
        <v>6</v>
      </c>
      <c r="E4" s="55">
        <v>32400000</v>
      </c>
      <c r="F4" s="55">
        <v>0</v>
      </c>
      <c r="G4" s="55">
        <v>0</v>
      </c>
      <c r="H4" s="56">
        <v>0</v>
      </c>
      <c r="I4" s="55">
        <v>0</v>
      </c>
    </row>
    <row r="5" spans="1:9" x14ac:dyDescent="0.65">
      <c r="A5" s="53">
        <v>4590</v>
      </c>
      <c r="B5" s="24" t="s">
        <v>6</v>
      </c>
      <c r="C5" s="45">
        <v>30</v>
      </c>
      <c r="D5" s="45">
        <v>6</v>
      </c>
      <c r="E5" s="55">
        <v>0</v>
      </c>
      <c r="F5" s="55">
        <v>40000000</v>
      </c>
      <c r="G5" s="55">
        <v>0</v>
      </c>
      <c r="H5" s="56">
        <v>0</v>
      </c>
      <c r="I5" s="55">
        <v>0</v>
      </c>
    </row>
    <row r="6" spans="1:9" x14ac:dyDescent="0.65">
      <c r="A6" s="53">
        <v>4597</v>
      </c>
      <c r="B6" s="24" t="s">
        <v>7</v>
      </c>
      <c r="C6" s="45">
        <v>38</v>
      </c>
      <c r="D6" s="45">
        <v>6</v>
      </c>
      <c r="E6" s="55">
        <v>25920000</v>
      </c>
      <c r="F6" s="55">
        <v>60000000</v>
      </c>
      <c r="G6" s="55">
        <v>0</v>
      </c>
      <c r="H6" s="56">
        <v>0</v>
      </c>
      <c r="I6" s="55">
        <v>0</v>
      </c>
    </row>
    <row r="7" spans="1:9" x14ac:dyDescent="0.65">
      <c r="A7" s="53">
        <v>4598</v>
      </c>
      <c r="B7" s="24" t="s">
        <v>8</v>
      </c>
      <c r="C7" s="45">
        <v>129</v>
      </c>
      <c r="D7" s="45">
        <v>6</v>
      </c>
      <c r="E7" s="55">
        <v>25920000</v>
      </c>
      <c r="F7" s="55">
        <v>40000000</v>
      </c>
      <c r="G7" s="55">
        <v>0</v>
      </c>
      <c r="H7" s="56">
        <v>0</v>
      </c>
      <c r="I7" s="55">
        <v>0</v>
      </c>
    </row>
    <row r="8" spans="1:9" x14ac:dyDescent="0.65">
      <c r="A8" s="53">
        <v>4614</v>
      </c>
      <c r="B8" s="24" t="s">
        <v>9</v>
      </c>
      <c r="C8" s="45">
        <v>140</v>
      </c>
      <c r="D8" s="45">
        <v>6</v>
      </c>
      <c r="E8" s="55">
        <v>19440000</v>
      </c>
      <c r="F8" s="55">
        <v>0</v>
      </c>
      <c r="G8" s="55">
        <v>0</v>
      </c>
      <c r="H8" s="56">
        <v>1500000</v>
      </c>
      <c r="I8" s="55">
        <v>0</v>
      </c>
    </row>
    <row r="9" spans="1:9" x14ac:dyDescent="0.65">
      <c r="A9" s="53">
        <v>4622</v>
      </c>
      <c r="B9" s="24" t="s">
        <v>11</v>
      </c>
      <c r="C9" s="45">
        <v>35</v>
      </c>
      <c r="D9" s="45">
        <v>6</v>
      </c>
      <c r="E9" s="55">
        <v>25920000</v>
      </c>
      <c r="F9" s="55">
        <v>0</v>
      </c>
      <c r="G9" s="55">
        <v>0</v>
      </c>
      <c r="H9" s="56">
        <v>1500000</v>
      </c>
      <c r="I9" s="55">
        <v>0</v>
      </c>
    </row>
    <row r="10" spans="1:9" x14ac:dyDescent="0.65">
      <c r="A10" s="53">
        <v>4636</v>
      </c>
      <c r="B10" s="24" t="s">
        <v>12</v>
      </c>
      <c r="C10" s="45">
        <v>62</v>
      </c>
      <c r="D10" s="45">
        <v>6</v>
      </c>
      <c r="E10" s="55">
        <v>32400000</v>
      </c>
      <c r="F10" s="55">
        <v>0</v>
      </c>
      <c r="G10" s="55">
        <v>0</v>
      </c>
      <c r="H10" s="56">
        <v>0</v>
      </c>
      <c r="I10" s="55">
        <v>0</v>
      </c>
    </row>
    <row r="11" spans="1:9" x14ac:dyDescent="0.65">
      <c r="A11" s="53">
        <v>4648</v>
      </c>
      <c r="B11" s="24" t="s">
        <v>15</v>
      </c>
      <c r="C11" s="45">
        <v>160</v>
      </c>
      <c r="D11" s="45">
        <v>6</v>
      </c>
      <c r="E11" s="55">
        <v>19440000</v>
      </c>
      <c r="F11" s="55">
        <v>0</v>
      </c>
      <c r="G11" s="55">
        <v>0</v>
      </c>
      <c r="H11" s="56">
        <v>0</v>
      </c>
      <c r="I11" s="55">
        <v>0</v>
      </c>
    </row>
    <row r="12" spans="1:9" x14ac:dyDescent="0.65">
      <c r="A12" s="53">
        <v>4651</v>
      </c>
      <c r="B12" s="24" t="s">
        <v>16</v>
      </c>
      <c r="C12" s="45">
        <v>52</v>
      </c>
      <c r="D12" s="45">
        <v>6</v>
      </c>
      <c r="E12" s="55">
        <v>19440000</v>
      </c>
      <c r="F12" s="55">
        <v>0</v>
      </c>
      <c r="G12" s="55">
        <v>0</v>
      </c>
      <c r="H12" s="56">
        <v>2928000</v>
      </c>
      <c r="I12" s="55">
        <v>0</v>
      </c>
    </row>
    <row r="13" spans="1:9" x14ac:dyDescent="0.65">
      <c r="A13" s="53">
        <v>4654</v>
      </c>
      <c r="B13" s="24" t="s">
        <v>18</v>
      </c>
      <c r="C13" s="45">
        <v>85</v>
      </c>
      <c r="D13" s="45">
        <v>6</v>
      </c>
      <c r="E13" s="55">
        <v>19440000</v>
      </c>
      <c r="F13" s="55">
        <v>40000000</v>
      </c>
      <c r="G13" s="55">
        <v>0</v>
      </c>
      <c r="H13" s="56">
        <v>0</v>
      </c>
      <c r="I13" s="55">
        <v>0</v>
      </c>
    </row>
    <row r="14" spans="1:9" x14ac:dyDescent="0.65">
      <c r="A14" s="53">
        <v>4655</v>
      </c>
      <c r="B14" s="24" t="s">
        <v>19</v>
      </c>
      <c r="C14" s="45">
        <v>122</v>
      </c>
      <c r="D14" s="45">
        <v>6</v>
      </c>
      <c r="E14" s="55">
        <v>12960000</v>
      </c>
      <c r="F14" s="55">
        <v>50000000</v>
      </c>
      <c r="G14" s="55">
        <v>0</v>
      </c>
      <c r="H14" s="56">
        <v>0</v>
      </c>
      <c r="I14" s="55">
        <v>0</v>
      </c>
    </row>
    <row r="15" spans="1:9" x14ac:dyDescent="0.65">
      <c r="A15" s="53">
        <v>4656</v>
      </c>
      <c r="B15" s="24" t="s">
        <v>20</v>
      </c>
      <c r="C15" s="45">
        <v>39</v>
      </c>
      <c r="D15" s="45">
        <v>6</v>
      </c>
      <c r="E15" s="55">
        <v>32400000</v>
      </c>
      <c r="F15" s="55">
        <v>0</v>
      </c>
      <c r="G15" s="55">
        <v>0</v>
      </c>
      <c r="H15" s="56">
        <v>1500000</v>
      </c>
      <c r="I15" s="55">
        <v>0</v>
      </c>
    </row>
    <row r="16" spans="1:9" x14ac:dyDescent="0.65">
      <c r="A16" s="53">
        <v>4657</v>
      </c>
      <c r="B16" s="24" t="s">
        <v>21</v>
      </c>
      <c r="C16" s="45">
        <v>71</v>
      </c>
      <c r="D16" s="45">
        <v>6</v>
      </c>
      <c r="E16" s="55">
        <v>25920000</v>
      </c>
      <c r="F16" s="55">
        <v>40000000</v>
      </c>
      <c r="G16" s="55">
        <v>0</v>
      </c>
      <c r="H16" s="56">
        <v>0</v>
      </c>
      <c r="I16" s="55">
        <v>0</v>
      </c>
    </row>
    <row r="17" spans="1:9" x14ac:dyDescent="0.65">
      <c r="A17" s="53">
        <v>4658</v>
      </c>
      <c r="B17" s="24" t="s">
        <v>22</v>
      </c>
      <c r="C17" s="45">
        <v>67</v>
      </c>
      <c r="D17" s="45">
        <v>6</v>
      </c>
      <c r="E17" s="55">
        <v>19440000</v>
      </c>
      <c r="F17" s="55">
        <v>0</v>
      </c>
      <c r="G17" s="55">
        <v>0</v>
      </c>
      <c r="H17" s="56">
        <v>0</v>
      </c>
      <c r="I17" s="55">
        <v>0</v>
      </c>
    </row>
    <row r="18" spans="1:9" x14ac:dyDescent="0.65">
      <c r="A18" s="53">
        <v>4660</v>
      </c>
      <c r="B18" s="24" t="s">
        <v>23</v>
      </c>
      <c r="C18" s="45">
        <v>72</v>
      </c>
      <c r="D18" s="45">
        <v>6</v>
      </c>
      <c r="E18" s="55">
        <v>25920000</v>
      </c>
      <c r="F18" s="55">
        <v>0</v>
      </c>
      <c r="G18" s="55">
        <v>0</v>
      </c>
      <c r="H18" s="56">
        <v>0</v>
      </c>
      <c r="I18" s="55">
        <v>0</v>
      </c>
    </row>
    <row r="19" spans="1:9" x14ac:dyDescent="0.65">
      <c r="A19" s="53">
        <v>4661</v>
      </c>
      <c r="B19" s="24" t="s">
        <v>24</v>
      </c>
      <c r="C19" s="45">
        <v>63</v>
      </c>
      <c r="D19" s="45">
        <v>6</v>
      </c>
      <c r="E19" s="55">
        <v>25920000</v>
      </c>
      <c r="F19" s="55">
        <v>0</v>
      </c>
      <c r="G19" s="55">
        <v>0</v>
      </c>
      <c r="H19" s="56">
        <v>1069200</v>
      </c>
      <c r="I19" s="55">
        <v>0</v>
      </c>
    </row>
    <row r="20" spans="1:9" x14ac:dyDescent="0.65">
      <c r="A20" s="53">
        <v>4663</v>
      </c>
      <c r="B20" s="24" t="s">
        <v>25</v>
      </c>
      <c r="C20" s="45">
        <v>70</v>
      </c>
      <c r="D20" s="45">
        <v>6</v>
      </c>
      <c r="E20" s="55">
        <v>51840000</v>
      </c>
      <c r="F20" s="55">
        <v>0</v>
      </c>
      <c r="G20" s="55">
        <v>0</v>
      </c>
      <c r="H20" s="56">
        <v>0</v>
      </c>
      <c r="I20" s="55">
        <v>0</v>
      </c>
    </row>
    <row r="21" spans="1:9" x14ac:dyDescent="0.65">
      <c r="A21" s="53">
        <v>4664</v>
      </c>
      <c r="B21" s="24" t="s">
        <v>26</v>
      </c>
      <c r="C21" s="45">
        <v>65</v>
      </c>
      <c r="D21" s="45">
        <v>6</v>
      </c>
      <c r="E21" s="55">
        <v>25920000</v>
      </c>
      <c r="F21" s="55">
        <v>0</v>
      </c>
      <c r="G21" s="55">
        <v>0</v>
      </c>
      <c r="H21" s="56">
        <v>0</v>
      </c>
      <c r="I21" s="55">
        <v>0</v>
      </c>
    </row>
    <row r="22" spans="1:9" x14ac:dyDescent="0.65">
      <c r="A22" s="53">
        <v>4666</v>
      </c>
      <c r="B22" s="24" t="s">
        <v>28</v>
      </c>
      <c r="C22" s="45">
        <v>69</v>
      </c>
      <c r="D22" s="45">
        <v>6</v>
      </c>
      <c r="E22" s="55">
        <v>19440000</v>
      </c>
      <c r="F22" s="55">
        <v>80000000</v>
      </c>
      <c r="G22" s="55">
        <v>0</v>
      </c>
      <c r="H22" s="56">
        <v>0</v>
      </c>
      <c r="I22" s="55">
        <v>0</v>
      </c>
    </row>
    <row r="23" spans="1:9" x14ac:dyDescent="0.65">
      <c r="A23" s="53">
        <v>4668</v>
      </c>
      <c r="B23" s="24" t="s">
        <v>30</v>
      </c>
      <c r="C23" s="45">
        <v>66</v>
      </c>
      <c r="D23" s="45">
        <v>6</v>
      </c>
      <c r="E23" s="55">
        <v>25920000</v>
      </c>
      <c r="F23" s="55">
        <v>0</v>
      </c>
      <c r="G23" s="55">
        <v>0</v>
      </c>
      <c r="H23" s="56">
        <v>5223900</v>
      </c>
      <c r="I23" s="55">
        <v>0</v>
      </c>
    </row>
    <row r="24" spans="1:9" x14ac:dyDescent="0.65">
      <c r="A24" s="53">
        <v>4669</v>
      </c>
      <c r="B24" s="24" t="s">
        <v>31</v>
      </c>
      <c r="C24" s="45">
        <v>68</v>
      </c>
      <c r="D24" s="45">
        <v>6</v>
      </c>
      <c r="E24" s="55">
        <v>45360000</v>
      </c>
      <c r="F24" s="55">
        <v>0</v>
      </c>
      <c r="G24" s="55">
        <v>0</v>
      </c>
      <c r="H24" s="56">
        <v>0</v>
      </c>
      <c r="I24" s="55">
        <v>0</v>
      </c>
    </row>
    <row r="25" spans="1:9" x14ac:dyDescent="0.65">
      <c r="A25" s="53">
        <v>4670</v>
      </c>
      <c r="B25" s="24" t="s">
        <v>32</v>
      </c>
      <c r="C25" s="45">
        <v>90</v>
      </c>
      <c r="D25" s="45">
        <v>6</v>
      </c>
      <c r="E25" s="55">
        <v>19440000</v>
      </c>
      <c r="F25" s="55">
        <v>40000000</v>
      </c>
      <c r="G25" s="55">
        <v>0</v>
      </c>
      <c r="H25" s="56">
        <v>0</v>
      </c>
      <c r="I25" s="55">
        <v>0</v>
      </c>
    </row>
    <row r="26" spans="1:9" x14ac:dyDescent="0.65">
      <c r="A26" s="53">
        <v>4671</v>
      </c>
      <c r="B26" s="24" t="s">
        <v>33</v>
      </c>
      <c r="C26" s="45">
        <v>73</v>
      </c>
      <c r="D26" s="45">
        <v>6</v>
      </c>
      <c r="E26" s="55">
        <v>19440000</v>
      </c>
      <c r="F26" s="55">
        <v>0</v>
      </c>
      <c r="G26" s="55">
        <v>0</v>
      </c>
      <c r="H26" s="56">
        <v>0</v>
      </c>
      <c r="I26" s="55">
        <v>0</v>
      </c>
    </row>
    <row r="27" spans="1:9" x14ac:dyDescent="0.65">
      <c r="A27" s="53">
        <v>4673</v>
      </c>
      <c r="B27" s="24" t="s">
        <v>34</v>
      </c>
      <c r="C27" s="45">
        <v>45</v>
      </c>
      <c r="D27" s="45">
        <v>6</v>
      </c>
      <c r="E27" s="55">
        <v>19440000</v>
      </c>
      <c r="F27" s="55">
        <v>0</v>
      </c>
      <c r="G27" s="55">
        <v>0</v>
      </c>
      <c r="H27" s="56">
        <v>1500000</v>
      </c>
      <c r="I27" s="55">
        <v>0</v>
      </c>
    </row>
    <row r="28" spans="1:9" x14ac:dyDescent="0.65">
      <c r="A28" s="53">
        <v>4686</v>
      </c>
      <c r="B28" s="24" t="s">
        <v>35</v>
      </c>
      <c r="C28" s="45">
        <v>27</v>
      </c>
      <c r="D28" s="45">
        <v>6</v>
      </c>
      <c r="E28" s="55">
        <v>12960000</v>
      </c>
      <c r="F28" s="55">
        <v>0</v>
      </c>
      <c r="G28" s="55">
        <v>0</v>
      </c>
      <c r="H28" s="56">
        <v>0</v>
      </c>
      <c r="I28" s="55">
        <v>0</v>
      </c>
    </row>
    <row r="29" spans="1:9" x14ac:dyDescent="0.65">
      <c r="A29" s="53">
        <v>4687</v>
      </c>
      <c r="B29" s="24" t="s">
        <v>36</v>
      </c>
      <c r="C29" s="45">
        <v>136</v>
      </c>
      <c r="D29" s="45">
        <v>6</v>
      </c>
      <c r="E29" s="55">
        <v>0</v>
      </c>
      <c r="F29" s="55">
        <v>0</v>
      </c>
      <c r="G29" s="55">
        <v>0</v>
      </c>
      <c r="H29" s="56">
        <v>4000000</v>
      </c>
      <c r="I29" s="55">
        <v>0</v>
      </c>
    </row>
    <row r="30" spans="1:9" x14ac:dyDescent="0.65">
      <c r="A30" s="53">
        <v>4688</v>
      </c>
      <c r="B30" s="24" t="s">
        <v>37</v>
      </c>
      <c r="C30" s="45">
        <v>143</v>
      </c>
      <c r="D30" s="45">
        <v>6</v>
      </c>
      <c r="E30" s="55">
        <v>25920000</v>
      </c>
      <c r="F30" s="55">
        <v>50000000</v>
      </c>
      <c r="G30" s="55">
        <v>0</v>
      </c>
      <c r="H30" s="56">
        <v>0</v>
      </c>
      <c r="I30" s="55">
        <v>50000000</v>
      </c>
    </row>
    <row r="31" spans="1:9" x14ac:dyDescent="0.65">
      <c r="A31" s="53">
        <v>4689</v>
      </c>
      <c r="B31" s="24" t="s">
        <v>38</v>
      </c>
      <c r="C31" s="45">
        <v>96</v>
      </c>
      <c r="D31" s="45">
        <v>6</v>
      </c>
      <c r="E31" s="55">
        <v>12960000</v>
      </c>
      <c r="F31" s="55">
        <v>0</v>
      </c>
      <c r="G31" s="55">
        <v>0</v>
      </c>
      <c r="H31" s="56">
        <v>0</v>
      </c>
      <c r="I31" s="55">
        <v>0</v>
      </c>
    </row>
    <row r="32" spans="1:9" x14ac:dyDescent="0.65">
      <c r="A32" s="53">
        <v>4693</v>
      </c>
      <c r="B32" s="24" t="s">
        <v>39</v>
      </c>
      <c r="C32" s="45">
        <v>24</v>
      </c>
      <c r="D32" s="45">
        <v>6</v>
      </c>
      <c r="E32" s="55">
        <v>6480000</v>
      </c>
      <c r="F32" s="55">
        <v>0</v>
      </c>
      <c r="G32" s="55">
        <v>0</v>
      </c>
      <c r="H32" s="56">
        <v>1500000</v>
      </c>
      <c r="I32" s="55">
        <v>0</v>
      </c>
    </row>
    <row r="33" spans="1:9" x14ac:dyDescent="0.65">
      <c r="A33" s="53">
        <v>4705</v>
      </c>
      <c r="B33" s="24" t="s">
        <v>41</v>
      </c>
      <c r="C33" s="45">
        <v>134</v>
      </c>
      <c r="D33" s="45">
        <v>6</v>
      </c>
      <c r="E33" s="55">
        <v>6480000</v>
      </c>
      <c r="F33" s="55">
        <v>0</v>
      </c>
      <c r="G33" s="55">
        <v>0</v>
      </c>
      <c r="H33" s="56">
        <v>0</v>
      </c>
      <c r="I33" s="55">
        <v>0</v>
      </c>
    </row>
    <row r="34" spans="1:9" x14ac:dyDescent="0.65">
      <c r="A34" s="53">
        <v>4727</v>
      </c>
      <c r="B34" s="24" t="s">
        <v>42</v>
      </c>
      <c r="C34" s="45">
        <v>58</v>
      </c>
      <c r="D34" s="45">
        <v>6</v>
      </c>
      <c r="E34" s="55">
        <v>6480000</v>
      </c>
      <c r="F34" s="55">
        <v>0</v>
      </c>
      <c r="G34" s="55">
        <v>0</v>
      </c>
      <c r="H34" s="56">
        <v>3000000</v>
      </c>
      <c r="I34" s="55">
        <v>0</v>
      </c>
    </row>
    <row r="35" spans="1:9" x14ac:dyDescent="0.65">
      <c r="A35" s="53">
        <v>4728</v>
      </c>
      <c r="B35" s="24" t="s">
        <v>43</v>
      </c>
      <c r="C35" s="45">
        <v>144</v>
      </c>
      <c r="D35" s="45">
        <v>6</v>
      </c>
      <c r="E35" s="55">
        <v>6480000</v>
      </c>
      <c r="F35" s="55">
        <v>0</v>
      </c>
      <c r="G35" s="55">
        <v>0</v>
      </c>
      <c r="H35" s="56">
        <v>0</v>
      </c>
      <c r="I35" s="55">
        <v>0</v>
      </c>
    </row>
    <row r="36" spans="1:9" x14ac:dyDescent="0.65">
      <c r="A36" s="53">
        <v>4735</v>
      </c>
      <c r="B36" s="24" t="s">
        <v>45</v>
      </c>
      <c r="C36" s="45">
        <v>141</v>
      </c>
      <c r="D36" s="45">
        <v>6</v>
      </c>
      <c r="E36" s="55">
        <v>32400000</v>
      </c>
      <c r="F36" s="55">
        <v>0</v>
      </c>
      <c r="G36" s="55">
        <v>0</v>
      </c>
      <c r="H36" s="56">
        <v>0</v>
      </c>
      <c r="I36" s="55">
        <v>0</v>
      </c>
    </row>
    <row r="37" spans="1:9" x14ac:dyDescent="0.65">
      <c r="A37" s="53">
        <v>5616</v>
      </c>
      <c r="B37" s="24" t="s">
        <v>46</v>
      </c>
      <c r="C37" s="45">
        <v>40</v>
      </c>
      <c r="D37" s="45">
        <v>6</v>
      </c>
      <c r="E37" s="55">
        <v>32400000</v>
      </c>
      <c r="F37" s="55">
        <v>0</v>
      </c>
      <c r="G37" s="55">
        <v>0</v>
      </c>
      <c r="H37" s="56">
        <v>0</v>
      </c>
      <c r="I37" s="55">
        <v>0</v>
      </c>
    </row>
    <row r="38" spans="1:9" x14ac:dyDescent="0.65">
      <c r="A38" s="53">
        <v>5624</v>
      </c>
      <c r="B38" s="24" t="s">
        <v>49</v>
      </c>
      <c r="C38" s="45">
        <v>109</v>
      </c>
      <c r="D38" s="45">
        <v>6</v>
      </c>
      <c r="E38" s="55">
        <v>19440000</v>
      </c>
      <c r="F38" s="55">
        <v>40000000</v>
      </c>
      <c r="G38" s="55">
        <v>0</v>
      </c>
      <c r="H38" s="56">
        <v>0</v>
      </c>
      <c r="I38" s="55">
        <v>0</v>
      </c>
    </row>
    <row r="39" spans="1:9" x14ac:dyDescent="0.65">
      <c r="A39" s="53">
        <v>5626</v>
      </c>
      <c r="B39" s="24" t="s">
        <v>50</v>
      </c>
      <c r="C39" s="45">
        <v>37</v>
      </c>
      <c r="D39" s="45">
        <v>6</v>
      </c>
      <c r="E39" s="55">
        <v>12960000</v>
      </c>
      <c r="F39" s="55">
        <v>0</v>
      </c>
      <c r="G39" s="55">
        <v>0</v>
      </c>
      <c r="H39" s="56">
        <v>0</v>
      </c>
      <c r="I39" s="55">
        <v>0</v>
      </c>
    </row>
    <row r="40" spans="1:9" x14ac:dyDescent="0.65">
      <c r="A40" s="53">
        <v>5627</v>
      </c>
      <c r="B40" s="24" t="s">
        <v>51</v>
      </c>
      <c r="C40" s="45">
        <v>101</v>
      </c>
      <c r="D40" s="45">
        <v>6</v>
      </c>
      <c r="E40" s="55">
        <v>12960000</v>
      </c>
      <c r="F40" s="55">
        <v>0</v>
      </c>
      <c r="G40" s="55">
        <v>0</v>
      </c>
      <c r="H40" s="56">
        <v>0</v>
      </c>
      <c r="I40" s="55">
        <v>0</v>
      </c>
    </row>
    <row r="41" spans="1:9" x14ac:dyDescent="0.65">
      <c r="A41" s="53">
        <v>5628</v>
      </c>
      <c r="B41" s="24" t="s">
        <v>52</v>
      </c>
      <c r="C41" s="45">
        <v>123</v>
      </c>
      <c r="D41" s="45">
        <v>6</v>
      </c>
      <c r="E41" s="55">
        <v>12960000</v>
      </c>
      <c r="F41" s="55">
        <v>0</v>
      </c>
      <c r="G41" s="55">
        <v>0</v>
      </c>
      <c r="H41" s="56">
        <v>4200000</v>
      </c>
      <c r="I41" s="55">
        <v>0</v>
      </c>
    </row>
    <row r="42" spans="1:9" x14ac:dyDescent="0.65">
      <c r="A42" s="53">
        <v>5629</v>
      </c>
      <c r="B42" s="24" t="s">
        <v>53</v>
      </c>
      <c r="C42" s="45">
        <v>46</v>
      </c>
      <c r="D42" s="45">
        <v>6</v>
      </c>
      <c r="E42" s="55">
        <v>12960000</v>
      </c>
      <c r="F42" s="55">
        <v>50000000</v>
      </c>
      <c r="G42" s="55">
        <v>0</v>
      </c>
      <c r="H42" s="56">
        <v>0</v>
      </c>
      <c r="I42" s="55">
        <v>0</v>
      </c>
    </row>
    <row r="43" spans="1:9" x14ac:dyDescent="0.65">
      <c r="A43" s="53">
        <v>5638</v>
      </c>
      <c r="B43" s="24" t="s">
        <v>59</v>
      </c>
      <c r="C43" s="45">
        <v>87</v>
      </c>
      <c r="D43" s="45">
        <v>6</v>
      </c>
      <c r="E43" s="55">
        <v>12960000</v>
      </c>
      <c r="F43" s="55">
        <v>40000000</v>
      </c>
      <c r="G43" s="55">
        <v>0</v>
      </c>
      <c r="H43" s="56">
        <v>3000000</v>
      </c>
      <c r="I43" s="55">
        <v>0</v>
      </c>
    </row>
    <row r="44" spans="1:9" x14ac:dyDescent="0.65">
      <c r="A44" s="53">
        <v>5642</v>
      </c>
      <c r="B44" s="24" t="s">
        <v>60</v>
      </c>
      <c r="C44" s="45">
        <v>137</v>
      </c>
      <c r="D44" s="45">
        <v>6</v>
      </c>
      <c r="E44" s="55">
        <v>0</v>
      </c>
      <c r="F44" s="55">
        <v>40000000</v>
      </c>
      <c r="G44" s="55">
        <v>0</v>
      </c>
      <c r="H44" s="56">
        <v>0</v>
      </c>
      <c r="I44" s="55">
        <v>0</v>
      </c>
    </row>
    <row r="45" spans="1:9" x14ac:dyDescent="0.65">
      <c r="A45" s="53">
        <v>5650</v>
      </c>
      <c r="B45" s="24" t="s">
        <v>61</v>
      </c>
      <c r="C45" s="45">
        <v>5</v>
      </c>
      <c r="D45" s="45">
        <v>6</v>
      </c>
      <c r="E45" s="55">
        <v>0</v>
      </c>
      <c r="F45" s="55">
        <v>300000000</v>
      </c>
      <c r="G45" s="55">
        <v>0</v>
      </c>
      <c r="H45" s="56">
        <v>0</v>
      </c>
      <c r="I45" s="55">
        <v>0</v>
      </c>
    </row>
    <row r="46" spans="1:9" x14ac:dyDescent="0.65">
      <c r="A46" s="53">
        <v>5653</v>
      </c>
      <c r="B46" s="24" t="s">
        <v>210</v>
      </c>
      <c r="C46" s="45">
        <v>464</v>
      </c>
      <c r="D46" s="45">
        <v>6</v>
      </c>
      <c r="E46" s="55">
        <v>0</v>
      </c>
      <c r="F46" s="55">
        <v>0</v>
      </c>
      <c r="G46" s="55">
        <v>0</v>
      </c>
      <c r="H46" s="56">
        <v>3000000</v>
      </c>
      <c r="I46" s="55">
        <v>0</v>
      </c>
    </row>
    <row r="47" spans="1:9" x14ac:dyDescent="0.65">
      <c r="A47" s="53">
        <v>5655</v>
      </c>
      <c r="B47" s="24" t="s">
        <v>63</v>
      </c>
      <c r="C47" s="45">
        <v>130</v>
      </c>
      <c r="D47" s="45">
        <v>6</v>
      </c>
      <c r="E47" s="55">
        <v>19440000</v>
      </c>
      <c r="F47" s="55">
        <v>0</v>
      </c>
      <c r="G47" s="55">
        <v>0</v>
      </c>
      <c r="H47" s="56">
        <v>0</v>
      </c>
      <c r="I47" s="55">
        <v>0</v>
      </c>
    </row>
    <row r="48" spans="1:9" x14ac:dyDescent="0.65">
      <c r="A48" s="53">
        <v>5685</v>
      </c>
      <c r="B48" s="24" t="s">
        <v>67</v>
      </c>
      <c r="C48" s="45">
        <v>142</v>
      </c>
      <c r="D48" s="45">
        <v>6</v>
      </c>
      <c r="E48" s="55">
        <v>19440000</v>
      </c>
      <c r="F48" s="55">
        <v>0</v>
      </c>
      <c r="G48" s="55">
        <v>0</v>
      </c>
      <c r="H48" s="56">
        <v>0</v>
      </c>
      <c r="I48" s="55">
        <v>0</v>
      </c>
    </row>
    <row r="49" spans="1:9" x14ac:dyDescent="0.65">
      <c r="A49" s="53">
        <v>5699</v>
      </c>
      <c r="B49" s="24" t="s">
        <v>68</v>
      </c>
      <c r="C49" s="45">
        <v>159</v>
      </c>
      <c r="D49" s="45">
        <v>6</v>
      </c>
      <c r="E49" s="55">
        <v>32400000</v>
      </c>
      <c r="F49" s="55">
        <v>0</v>
      </c>
      <c r="G49" s="55">
        <v>0</v>
      </c>
      <c r="H49" s="56">
        <v>6000000</v>
      </c>
      <c r="I49" s="55">
        <v>0</v>
      </c>
    </row>
    <row r="50" spans="1:9" x14ac:dyDescent="0.65">
      <c r="A50" s="53">
        <v>5708</v>
      </c>
      <c r="B50" s="24" t="s">
        <v>72</v>
      </c>
      <c r="C50" s="45">
        <v>50</v>
      </c>
      <c r="D50" s="45">
        <v>6</v>
      </c>
      <c r="E50" s="55">
        <v>19440000</v>
      </c>
      <c r="F50" s="55">
        <v>0</v>
      </c>
      <c r="G50" s="55">
        <v>0</v>
      </c>
      <c r="H50" s="56">
        <v>0</v>
      </c>
      <c r="I50" s="55">
        <v>0</v>
      </c>
    </row>
    <row r="51" spans="1:9" x14ac:dyDescent="0.65">
      <c r="A51" s="53">
        <v>5710</v>
      </c>
      <c r="B51" s="24" t="s">
        <v>73</v>
      </c>
      <c r="C51" s="45">
        <v>74</v>
      </c>
      <c r="D51" s="45">
        <v>6</v>
      </c>
      <c r="E51" s="55">
        <v>19440000</v>
      </c>
      <c r="F51" s="55">
        <v>0</v>
      </c>
      <c r="G51" s="55">
        <v>0</v>
      </c>
      <c r="H51" s="56">
        <v>0</v>
      </c>
      <c r="I51" s="55">
        <v>0</v>
      </c>
    </row>
    <row r="52" spans="1:9" x14ac:dyDescent="0.65">
      <c r="A52" s="53">
        <v>5727</v>
      </c>
      <c r="B52" s="24" t="s">
        <v>76</v>
      </c>
      <c r="C52" s="45">
        <v>47</v>
      </c>
      <c r="D52" s="45">
        <v>6</v>
      </c>
      <c r="E52" s="55">
        <v>38880000</v>
      </c>
      <c r="F52" s="55">
        <v>50000000</v>
      </c>
      <c r="G52" s="55">
        <v>0</v>
      </c>
      <c r="H52" s="56">
        <v>0</v>
      </c>
      <c r="I52" s="55">
        <v>0</v>
      </c>
    </row>
    <row r="53" spans="1:9" x14ac:dyDescent="0.65">
      <c r="A53" s="53">
        <v>5734</v>
      </c>
      <c r="B53" s="24" t="s">
        <v>77</v>
      </c>
      <c r="C53" s="45">
        <v>98</v>
      </c>
      <c r="D53" s="45">
        <v>6</v>
      </c>
      <c r="E53" s="55">
        <v>6480000</v>
      </c>
      <c r="F53" s="55">
        <v>40000000</v>
      </c>
      <c r="G53" s="55">
        <v>0</v>
      </c>
      <c r="H53" s="56">
        <v>0</v>
      </c>
      <c r="I53" s="55">
        <v>0</v>
      </c>
    </row>
    <row r="54" spans="1:9" x14ac:dyDescent="0.65">
      <c r="A54" s="53">
        <v>5744</v>
      </c>
      <c r="B54" s="24" t="s">
        <v>78</v>
      </c>
      <c r="C54" s="45">
        <v>3</v>
      </c>
      <c r="D54" s="45">
        <v>6</v>
      </c>
      <c r="E54" s="55">
        <v>0</v>
      </c>
      <c r="F54" s="55">
        <v>140000000</v>
      </c>
      <c r="G54" s="55">
        <v>0</v>
      </c>
      <c r="H54" s="56">
        <v>0</v>
      </c>
      <c r="I54" s="55">
        <v>0</v>
      </c>
    </row>
    <row r="55" spans="1:9" x14ac:dyDescent="0.65">
      <c r="A55" s="53">
        <v>5765</v>
      </c>
      <c r="B55" s="24" t="s">
        <v>80</v>
      </c>
      <c r="C55" s="45">
        <v>51</v>
      </c>
      <c r="D55" s="45">
        <v>6</v>
      </c>
      <c r="E55" s="55">
        <v>19440000</v>
      </c>
      <c r="F55" s="55">
        <v>0</v>
      </c>
      <c r="G55" s="55">
        <v>0</v>
      </c>
      <c r="H55" s="56">
        <v>0</v>
      </c>
      <c r="I55" s="55">
        <v>0</v>
      </c>
    </row>
    <row r="56" spans="1:9" x14ac:dyDescent="0.65">
      <c r="A56" s="53">
        <v>5766</v>
      </c>
      <c r="B56" s="24" t="s">
        <v>81</v>
      </c>
      <c r="C56" s="45">
        <v>135</v>
      </c>
      <c r="D56" s="45">
        <v>6</v>
      </c>
      <c r="E56" s="55">
        <v>19440000</v>
      </c>
      <c r="F56" s="55">
        <v>0</v>
      </c>
      <c r="G56" s="55">
        <v>0</v>
      </c>
      <c r="H56" s="56">
        <v>0</v>
      </c>
      <c r="I56" s="55">
        <v>0</v>
      </c>
    </row>
    <row r="57" spans="1:9" x14ac:dyDescent="0.65">
      <c r="A57" s="53">
        <v>5771</v>
      </c>
      <c r="B57" s="24" t="s">
        <v>82</v>
      </c>
      <c r="C57" s="45">
        <v>77</v>
      </c>
      <c r="D57" s="45">
        <v>6</v>
      </c>
      <c r="E57" s="55">
        <v>12960000</v>
      </c>
      <c r="F57" s="55">
        <v>40000000</v>
      </c>
      <c r="G57" s="55">
        <v>0</v>
      </c>
      <c r="H57" s="56">
        <v>0</v>
      </c>
      <c r="I57" s="55">
        <v>0</v>
      </c>
    </row>
    <row r="58" spans="1:9" x14ac:dyDescent="0.65">
      <c r="A58" s="53">
        <v>5783</v>
      </c>
      <c r="B58" s="24" t="s">
        <v>84</v>
      </c>
      <c r="C58" s="45">
        <v>79</v>
      </c>
      <c r="D58" s="45">
        <v>6</v>
      </c>
      <c r="E58" s="55">
        <v>51840000</v>
      </c>
      <c r="F58" s="55">
        <v>20000000</v>
      </c>
      <c r="G58" s="55">
        <v>0</v>
      </c>
      <c r="H58" s="56">
        <v>0</v>
      </c>
      <c r="I58" s="55">
        <v>0</v>
      </c>
    </row>
    <row r="59" spans="1:9" x14ac:dyDescent="0.65">
      <c r="A59" s="53">
        <v>5784</v>
      </c>
      <c r="B59" s="24" t="s">
        <v>85</v>
      </c>
      <c r="C59" s="45">
        <v>148</v>
      </c>
      <c r="D59" s="45">
        <v>6</v>
      </c>
      <c r="E59" s="55">
        <v>32400000</v>
      </c>
      <c r="F59" s="55">
        <v>40000000</v>
      </c>
      <c r="G59" s="55">
        <v>0</v>
      </c>
      <c r="H59" s="56">
        <v>0</v>
      </c>
      <c r="I59" s="55">
        <v>0</v>
      </c>
    </row>
    <row r="60" spans="1:9" x14ac:dyDescent="0.65">
      <c r="A60" s="53">
        <v>5791</v>
      </c>
      <c r="B60" s="24" t="s">
        <v>86</v>
      </c>
      <c r="C60" s="45">
        <v>150</v>
      </c>
      <c r="D60" s="45">
        <v>6</v>
      </c>
      <c r="E60" s="55">
        <v>6480000</v>
      </c>
      <c r="F60" s="55">
        <v>0</v>
      </c>
      <c r="G60" s="55">
        <v>0</v>
      </c>
      <c r="H60" s="56">
        <v>0</v>
      </c>
      <c r="I60" s="55">
        <v>0</v>
      </c>
    </row>
    <row r="61" spans="1:9" x14ac:dyDescent="0.65">
      <c r="A61" s="53">
        <v>5793</v>
      </c>
      <c r="B61" s="24" t="s">
        <v>87</v>
      </c>
      <c r="C61" s="45">
        <v>43</v>
      </c>
      <c r="D61" s="45">
        <v>6</v>
      </c>
      <c r="E61" s="55">
        <v>0</v>
      </c>
      <c r="F61" s="55">
        <v>40000000</v>
      </c>
      <c r="G61" s="55">
        <v>0</v>
      </c>
      <c r="H61" s="56">
        <v>0</v>
      </c>
      <c r="I61" s="55">
        <v>0</v>
      </c>
    </row>
    <row r="62" spans="1:9" x14ac:dyDescent="0.65">
      <c r="A62" s="53">
        <v>5799</v>
      </c>
      <c r="B62" s="24" t="s">
        <v>90</v>
      </c>
      <c r="C62" s="45">
        <v>224</v>
      </c>
      <c r="D62" s="45">
        <v>6</v>
      </c>
      <c r="E62" s="55">
        <v>0</v>
      </c>
      <c r="F62" s="55">
        <v>0</v>
      </c>
      <c r="G62" s="55">
        <v>0</v>
      </c>
      <c r="H62" s="56">
        <v>1700000</v>
      </c>
      <c r="I62" s="55">
        <v>0</v>
      </c>
    </row>
    <row r="63" spans="1:9" x14ac:dyDescent="0.65">
      <c r="A63" s="53">
        <v>5816</v>
      </c>
      <c r="B63" s="24" t="s">
        <v>92</v>
      </c>
      <c r="C63" s="45">
        <v>86</v>
      </c>
      <c r="D63" s="45">
        <v>6</v>
      </c>
      <c r="E63" s="55">
        <v>6480000</v>
      </c>
      <c r="F63" s="55">
        <v>0</v>
      </c>
      <c r="G63" s="55">
        <v>0</v>
      </c>
      <c r="H63" s="56">
        <v>0</v>
      </c>
      <c r="I63" s="55">
        <v>0</v>
      </c>
    </row>
    <row r="64" spans="1:9" x14ac:dyDescent="0.65">
      <c r="A64" s="53">
        <v>5837</v>
      </c>
      <c r="B64" s="24" t="s">
        <v>100</v>
      </c>
      <c r="C64" s="45">
        <v>75</v>
      </c>
      <c r="D64" s="45">
        <v>6</v>
      </c>
      <c r="E64" s="55">
        <v>6480000</v>
      </c>
      <c r="F64" s="55">
        <v>0</v>
      </c>
      <c r="G64" s="55">
        <v>0</v>
      </c>
      <c r="H64" s="56">
        <v>0</v>
      </c>
      <c r="I64" s="55">
        <v>0</v>
      </c>
    </row>
    <row r="65" spans="1:9" x14ac:dyDescent="0.65">
      <c r="A65" s="53">
        <v>5843</v>
      </c>
      <c r="B65" s="24" t="s">
        <v>102</v>
      </c>
      <c r="C65" s="45">
        <v>76</v>
      </c>
      <c r="D65" s="45">
        <v>6</v>
      </c>
      <c r="E65" s="55">
        <v>12960000</v>
      </c>
      <c r="F65" s="55">
        <v>40000000</v>
      </c>
      <c r="G65" s="55">
        <v>0</v>
      </c>
      <c r="H65" s="56">
        <v>0</v>
      </c>
      <c r="I65" s="55">
        <v>0</v>
      </c>
    </row>
    <row r="66" spans="1:9" x14ac:dyDescent="0.65">
      <c r="A66" s="53">
        <v>5847</v>
      </c>
      <c r="B66" s="24" t="s">
        <v>103</v>
      </c>
      <c r="C66" s="45">
        <v>93</v>
      </c>
      <c r="D66" s="45">
        <v>6</v>
      </c>
      <c r="E66" s="55">
        <v>32400000</v>
      </c>
      <c r="F66" s="55">
        <v>40000000</v>
      </c>
      <c r="G66" s="55">
        <v>0</v>
      </c>
      <c r="H66" s="56">
        <v>1500000</v>
      </c>
      <c r="I66" s="55">
        <v>0</v>
      </c>
    </row>
    <row r="67" spans="1:9" x14ac:dyDescent="0.65">
      <c r="A67" s="53">
        <v>5851</v>
      </c>
      <c r="B67" s="24" t="s">
        <v>105</v>
      </c>
      <c r="C67" s="45">
        <v>117</v>
      </c>
      <c r="D67" s="45">
        <v>6</v>
      </c>
      <c r="E67" s="55">
        <v>0</v>
      </c>
      <c r="F67" s="55">
        <v>0</v>
      </c>
      <c r="G67" s="55">
        <v>0</v>
      </c>
      <c r="H67" s="56">
        <v>3000000</v>
      </c>
      <c r="I67" s="55">
        <v>0</v>
      </c>
    </row>
    <row r="68" spans="1:9" x14ac:dyDescent="0.65">
      <c r="A68" s="53">
        <v>5857</v>
      </c>
      <c r="B68" s="24" t="s">
        <v>106</v>
      </c>
      <c r="C68" s="45">
        <v>48</v>
      </c>
      <c r="D68" s="45">
        <v>6</v>
      </c>
      <c r="E68" s="55">
        <v>6480000</v>
      </c>
      <c r="F68" s="55">
        <v>0</v>
      </c>
      <c r="G68" s="55">
        <v>0</v>
      </c>
      <c r="H68" s="56">
        <v>0</v>
      </c>
      <c r="I68" s="55">
        <v>0</v>
      </c>
    </row>
    <row r="69" spans="1:9" x14ac:dyDescent="0.65">
      <c r="A69" s="53">
        <v>5863</v>
      </c>
      <c r="B69" s="24" t="s">
        <v>107</v>
      </c>
      <c r="C69" s="45">
        <v>2</v>
      </c>
      <c r="D69" s="45">
        <v>6</v>
      </c>
      <c r="E69" s="55">
        <v>25920000</v>
      </c>
      <c r="F69" s="55">
        <v>57142857</v>
      </c>
      <c r="G69" s="55">
        <v>0</v>
      </c>
      <c r="H69" s="56">
        <v>0</v>
      </c>
      <c r="I69" s="55">
        <v>0</v>
      </c>
    </row>
    <row r="70" spans="1:9" x14ac:dyDescent="0.65">
      <c r="A70" s="53">
        <v>5867</v>
      </c>
      <c r="B70" s="24" t="s">
        <v>108</v>
      </c>
      <c r="C70" s="45">
        <v>78</v>
      </c>
      <c r="D70" s="45">
        <v>6</v>
      </c>
      <c r="E70" s="55">
        <v>6480000</v>
      </c>
      <c r="F70" s="55">
        <v>0</v>
      </c>
      <c r="G70" s="55">
        <v>0</v>
      </c>
      <c r="H70" s="56">
        <v>0</v>
      </c>
      <c r="I70" s="55">
        <v>0</v>
      </c>
    </row>
    <row r="71" spans="1:9" x14ac:dyDescent="0.65">
      <c r="A71" s="53">
        <v>5870</v>
      </c>
      <c r="B71" s="24" t="s">
        <v>109</v>
      </c>
      <c r="C71" s="45">
        <v>199</v>
      </c>
      <c r="D71" s="45">
        <v>6</v>
      </c>
      <c r="E71" s="55">
        <v>6480000</v>
      </c>
      <c r="F71" s="55">
        <v>100000000</v>
      </c>
      <c r="G71" s="55">
        <v>0</v>
      </c>
      <c r="H71" s="56">
        <v>0</v>
      </c>
      <c r="I71" s="55">
        <v>0</v>
      </c>
    </row>
    <row r="72" spans="1:9" x14ac:dyDescent="0.65">
      <c r="A72" s="53">
        <v>5876</v>
      </c>
      <c r="B72" s="24" t="s">
        <v>110</v>
      </c>
      <c r="C72" s="45">
        <v>127</v>
      </c>
      <c r="D72" s="45">
        <v>6</v>
      </c>
      <c r="E72" s="55">
        <v>0</v>
      </c>
      <c r="F72" s="55">
        <v>0</v>
      </c>
      <c r="G72" s="55">
        <v>0</v>
      </c>
      <c r="H72" s="56">
        <v>1500000</v>
      </c>
      <c r="I72" s="55">
        <v>0</v>
      </c>
    </row>
    <row r="73" spans="1:9" x14ac:dyDescent="0.65">
      <c r="A73" s="53">
        <v>5883</v>
      </c>
      <c r="B73" s="24" t="s">
        <v>111</v>
      </c>
      <c r="C73" s="45">
        <v>6</v>
      </c>
      <c r="D73" s="45">
        <v>6</v>
      </c>
      <c r="E73" s="55">
        <v>38880000</v>
      </c>
      <c r="F73" s="55">
        <v>0</v>
      </c>
      <c r="G73" s="55">
        <v>21887016</v>
      </c>
      <c r="H73" s="56">
        <v>0</v>
      </c>
      <c r="I73" s="55">
        <v>0</v>
      </c>
    </row>
    <row r="74" spans="1:9" x14ac:dyDescent="0.65">
      <c r="A74" s="53">
        <v>5885</v>
      </c>
      <c r="B74" s="24" t="s">
        <v>112</v>
      </c>
      <c r="C74" s="45">
        <v>161</v>
      </c>
      <c r="D74" s="45">
        <v>6</v>
      </c>
      <c r="E74" s="55">
        <v>12960000</v>
      </c>
      <c r="F74" s="55">
        <v>0</v>
      </c>
      <c r="G74" s="55">
        <v>0</v>
      </c>
      <c r="H74" s="56">
        <v>0</v>
      </c>
      <c r="I74" s="55">
        <v>0</v>
      </c>
    </row>
    <row r="75" spans="1:9" x14ac:dyDescent="0.65">
      <c r="A75" s="53">
        <v>5886</v>
      </c>
      <c r="B75" s="24" t="s">
        <v>113</v>
      </c>
      <c r="C75" s="45">
        <v>166</v>
      </c>
      <c r="D75" s="45">
        <v>6</v>
      </c>
      <c r="E75" s="55">
        <v>6480000</v>
      </c>
      <c r="F75" s="55">
        <v>0</v>
      </c>
      <c r="G75" s="55">
        <v>0</v>
      </c>
      <c r="H75" s="56">
        <v>0</v>
      </c>
      <c r="I75" s="55">
        <v>0</v>
      </c>
    </row>
    <row r="76" spans="1:9" x14ac:dyDescent="0.65">
      <c r="A76" s="53">
        <v>5887</v>
      </c>
      <c r="B76" s="24" t="s">
        <v>114</v>
      </c>
      <c r="C76" s="45">
        <v>167</v>
      </c>
      <c r="D76" s="45">
        <v>6</v>
      </c>
      <c r="E76" s="55">
        <v>6480000</v>
      </c>
      <c r="F76" s="55">
        <v>0</v>
      </c>
      <c r="G76" s="55">
        <v>0</v>
      </c>
      <c r="H76" s="56">
        <v>0</v>
      </c>
      <c r="I76" s="55">
        <v>0</v>
      </c>
    </row>
    <row r="77" spans="1:9" x14ac:dyDescent="0.65">
      <c r="A77" s="53">
        <v>5890</v>
      </c>
      <c r="B77" s="24" t="s">
        <v>116</v>
      </c>
      <c r="C77" s="45">
        <v>15</v>
      </c>
      <c r="D77" s="45">
        <v>6</v>
      </c>
      <c r="E77" s="55">
        <v>19440000</v>
      </c>
      <c r="F77" s="55">
        <v>0</v>
      </c>
      <c r="G77" s="55">
        <v>0</v>
      </c>
      <c r="H77" s="56">
        <v>0</v>
      </c>
      <c r="I77" s="55">
        <v>0</v>
      </c>
    </row>
    <row r="78" spans="1:9" x14ac:dyDescent="0.65">
      <c r="A78" s="53">
        <v>5898</v>
      </c>
      <c r="B78" s="24" t="s">
        <v>117</v>
      </c>
      <c r="C78" s="45">
        <v>29</v>
      </c>
      <c r="D78" s="45">
        <v>6</v>
      </c>
      <c r="E78" s="55">
        <v>25920000</v>
      </c>
      <c r="F78" s="55">
        <v>33333333</v>
      </c>
      <c r="G78" s="55">
        <v>0</v>
      </c>
      <c r="H78" s="56">
        <v>0</v>
      </c>
      <c r="I78" s="55">
        <v>0</v>
      </c>
    </row>
    <row r="79" spans="1:9" x14ac:dyDescent="0.65">
      <c r="A79" s="53">
        <v>5900</v>
      </c>
      <c r="B79" s="24" t="s">
        <v>118</v>
      </c>
      <c r="C79" s="45">
        <v>42</v>
      </c>
      <c r="D79" s="45">
        <v>6</v>
      </c>
      <c r="E79" s="55">
        <v>6480000</v>
      </c>
      <c r="F79" s="55">
        <v>0</v>
      </c>
      <c r="G79" s="55">
        <v>0</v>
      </c>
      <c r="H79" s="56">
        <v>0</v>
      </c>
      <c r="I79" s="55">
        <v>0</v>
      </c>
    </row>
    <row r="80" spans="1:9" x14ac:dyDescent="0.65">
      <c r="A80" s="53">
        <v>5907</v>
      </c>
      <c r="B80" s="24" t="s">
        <v>123</v>
      </c>
      <c r="C80" s="45">
        <v>16</v>
      </c>
      <c r="D80" s="45">
        <v>6</v>
      </c>
      <c r="E80" s="55">
        <v>19440000</v>
      </c>
      <c r="F80" s="55">
        <v>99999999</v>
      </c>
      <c r="G80" s="55">
        <v>0</v>
      </c>
      <c r="H80" s="56">
        <v>0</v>
      </c>
      <c r="I80" s="55">
        <v>0</v>
      </c>
    </row>
    <row r="81" spans="1:9" x14ac:dyDescent="0.65">
      <c r="A81" s="53">
        <v>5909</v>
      </c>
      <c r="B81" s="24" t="s">
        <v>124</v>
      </c>
      <c r="C81" s="45">
        <v>23</v>
      </c>
      <c r="D81" s="45">
        <v>6</v>
      </c>
      <c r="E81" s="55">
        <v>19440000</v>
      </c>
      <c r="F81" s="55">
        <v>0</v>
      </c>
      <c r="G81" s="55">
        <v>0</v>
      </c>
      <c r="H81" s="56">
        <v>0</v>
      </c>
      <c r="I81" s="55">
        <v>0</v>
      </c>
    </row>
    <row r="82" spans="1:9" x14ac:dyDescent="0.65">
      <c r="A82" s="53">
        <v>5914</v>
      </c>
      <c r="B82" s="24" t="s">
        <v>125</v>
      </c>
      <c r="C82" s="45">
        <v>14</v>
      </c>
      <c r="D82" s="45">
        <v>6</v>
      </c>
      <c r="E82" s="55">
        <v>0</v>
      </c>
      <c r="F82" s="55">
        <v>199999999</v>
      </c>
      <c r="G82" s="55">
        <v>0</v>
      </c>
      <c r="H82" s="56">
        <v>0</v>
      </c>
      <c r="I82" s="55">
        <v>0</v>
      </c>
    </row>
    <row r="83" spans="1:9" x14ac:dyDescent="0.65">
      <c r="A83" s="53">
        <v>5918</v>
      </c>
      <c r="B83" s="24" t="s">
        <v>126</v>
      </c>
      <c r="C83" s="45">
        <v>9</v>
      </c>
      <c r="D83" s="45">
        <v>6</v>
      </c>
      <c r="E83" s="55">
        <v>12960000</v>
      </c>
      <c r="F83" s="55">
        <v>0</v>
      </c>
      <c r="G83" s="55">
        <v>0</v>
      </c>
      <c r="H83" s="56">
        <v>0</v>
      </c>
      <c r="I83" s="55">
        <v>0</v>
      </c>
    </row>
    <row r="84" spans="1:9" x14ac:dyDescent="0.65">
      <c r="A84" s="53">
        <v>5919</v>
      </c>
      <c r="B84" s="24" t="s">
        <v>127</v>
      </c>
      <c r="C84" s="45">
        <v>152</v>
      </c>
      <c r="D84" s="45">
        <v>6</v>
      </c>
      <c r="E84" s="55">
        <v>25920000</v>
      </c>
      <c r="F84" s="55">
        <v>0</v>
      </c>
      <c r="G84" s="55">
        <v>0</v>
      </c>
      <c r="H84" s="56">
        <v>0</v>
      </c>
      <c r="I84" s="55">
        <v>0</v>
      </c>
    </row>
    <row r="85" spans="1:9" x14ac:dyDescent="0.65">
      <c r="A85" s="53">
        <v>5924</v>
      </c>
      <c r="B85" s="24" t="s">
        <v>130</v>
      </c>
      <c r="C85" s="45">
        <v>54</v>
      </c>
      <c r="D85" s="45">
        <v>6</v>
      </c>
      <c r="E85" s="55">
        <v>12960000</v>
      </c>
      <c r="F85" s="55">
        <v>50000000</v>
      </c>
      <c r="G85" s="55">
        <v>0</v>
      </c>
      <c r="H85" s="56">
        <v>0</v>
      </c>
      <c r="I85" s="55">
        <v>0</v>
      </c>
    </row>
    <row r="86" spans="1:9" x14ac:dyDescent="0.65">
      <c r="A86" s="53">
        <v>5926</v>
      </c>
      <c r="B86" s="24" t="s">
        <v>131</v>
      </c>
      <c r="C86" s="45">
        <v>112</v>
      </c>
      <c r="D86" s="45">
        <v>6</v>
      </c>
      <c r="E86" s="55">
        <v>25920000</v>
      </c>
      <c r="F86" s="55">
        <v>60000000</v>
      </c>
      <c r="G86" s="55">
        <v>0</v>
      </c>
      <c r="H86" s="56">
        <v>0</v>
      </c>
      <c r="I86" s="55">
        <v>0</v>
      </c>
    </row>
    <row r="87" spans="1:9" x14ac:dyDescent="0.65">
      <c r="A87" s="53">
        <v>5927</v>
      </c>
      <c r="B87" s="24" t="s">
        <v>132</v>
      </c>
      <c r="C87" s="45">
        <v>153</v>
      </c>
      <c r="D87" s="45">
        <v>6</v>
      </c>
      <c r="E87" s="55">
        <v>6480000</v>
      </c>
      <c r="F87" s="55">
        <v>0</v>
      </c>
      <c r="G87" s="55">
        <v>0</v>
      </c>
      <c r="H87" s="56">
        <v>0</v>
      </c>
      <c r="I87" s="55">
        <v>0</v>
      </c>
    </row>
    <row r="88" spans="1:9" x14ac:dyDescent="0.65">
      <c r="A88" s="53">
        <v>5931</v>
      </c>
      <c r="B88" s="24" t="s">
        <v>133</v>
      </c>
      <c r="C88" s="45">
        <v>113</v>
      </c>
      <c r="D88" s="45">
        <v>6</v>
      </c>
      <c r="E88" s="55">
        <v>25920000</v>
      </c>
      <c r="F88" s="55">
        <v>40000000</v>
      </c>
      <c r="G88" s="55">
        <v>0</v>
      </c>
      <c r="H88" s="56">
        <v>0</v>
      </c>
      <c r="I88" s="55">
        <v>0</v>
      </c>
    </row>
    <row r="89" spans="1:9" x14ac:dyDescent="0.65">
      <c r="A89" s="53">
        <v>5936</v>
      </c>
      <c r="B89" s="24" t="s">
        <v>134</v>
      </c>
      <c r="C89" s="45">
        <v>11</v>
      </c>
      <c r="D89" s="45">
        <v>6</v>
      </c>
      <c r="E89" s="55">
        <v>25920000</v>
      </c>
      <c r="F89" s="55">
        <v>0</v>
      </c>
      <c r="G89" s="55">
        <v>0</v>
      </c>
      <c r="H89" s="56">
        <v>0</v>
      </c>
      <c r="I89" s="55">
        <v>0</v>
      </c>
    </row>
    <row r="90" spans="1:9" x14ac:dyDescent="0.65">
      <c r="A90" s="53">
        <v>5941</v>
      </c>
      <c r="B90" s="24" t="s">
        <v>137</v>
      </c>
      <c r="C90" s="45">
        <v>184</v>
      </c>
      <c r="D90" s="45">
        <v>6</v>
      </c>
      <c r="E90" s="55">
        <v>6480000</v>
      </c>
      <c r="F90" s="55">
        <v>0</v>
      </c>
      <c r="G90" s="55">
        <v>0</v>
      </c>
      <c r="H90" s="56">
        <v>3000000</v>
      </c>
      <c r="I90" s="55">
        <v>0</v>
      </c>
    </row>
    <row r="91" spans="1:9" x14ac:dyDescent="0.65">
      <c r="A91" s="53">
        <v>5942</v>
      </c>
      <c r="B91" s="24" t="s">
        <v>138</v>
      </c>
      <c r="C91" s="45">
        <v>59</v>
      </c>
      <c r="D91" s="45">
        <v>6</v>
      </c>
      <c r="E91" s="55">
        <v>6480000</v>
      </c>
      <c r="F91" s="55">
        <v>0</v>
      </c>
      <c r="G91" s="55">
        <v>0</v>
      </c>
      <c r="H91" s="56">
        <v>3000000</v>
      </c>
      <c r="I91" s="55">
        <v>0</v>
      </c>
    </row>
    <row r="92" spans="1:9" x14ac:dyDescent="0.65">
      <c r="A92" s="53">
        <v>5944</v>
      </c>
      <c r="B92" s="24" t="s">
        <v>139</v>
      </c>
      <c r="C92" s="45">
        <v>173</v>
      </c>
      <c r="D92" s="45">
        <v>6</v>
      </c>
      <c r="E92" s="55">
        <v>19440000</v>
      </c>
      <c r="F92" s="55">
        <v>0</v>
      </c>
      <c r="G92" s="55">
        <v>0</v>
      </c>
      <c r="H92" s="56">
        <v>0</v>
      </c>
      <c r="I92" s="55">
        <v>0</v>
      </c>
    </row>
    <row r="93" spans="1:9" x14ac:dyDescent="0.65">
      <c r="A93" s="53">
        <v>5945</v>
      </c>
      <c r="B93" s="24" t="s">
        <v>140</v>
      </c>
      <c r="C93" s="45">
        <v>183</v>
      </c>
      <c r="D93" s="45">
        <v>6</v>
      </c>
      <c r="E93" s="55">
        <v>0</v>
      </c>
      <c r="F93" s="55">
        <v>0</v>
      </c>
      <c r="G93" s="55">
        <v>0</v>
      </c>
      <c r="H93" s="56">
        <v>1500000</v>
      </c>
      <c r="I93" s="55">
        <v>0</v>
      </c>
    </row>
    <row r="94" spans="1:9" x14ac:dyDescent="0.65">
      <c r="A94" s="53">
        <v>5950</v>
      </c>
      <c r="B94" s="24" t="s">
        <v>141</v>
      </c>
      <c r="C94" s="45">
        <v>308</v>
      </c>
      <c r="D94" s="45">
        <v>6</v>
      </c>
      <c r="E94" s="55">
        <v>25920000</v>
      </c>
      <c r="F94" s="55">
        <v>0</v>
      </c>
      <c r="G94" s="55">
        <v>0</v>
      </c>
      <c r="H94" s="56">
        <v>0</v>
      </c>
      <c r="I94" s="55">
        <v>0</v>
      </c>
    </row>
    <row r="95" spans="1:9" x14ac:dyDescent="0.65">
      <c r="A95" s="53">
        <v>5957</v>
      </c>
      <c r="B95" s="24" t="s">
        <v>142</v>
      </c>
      <c r="C95" s="45">
        <v>88</v>
      </c>
      <c r="D95" s="45">
        <v>6</v>
      </c>
      <c r="E95" s="55">
        <v>6480000</v>
      </c>
      <c r="F95" s="55">
        <v>20000000</v>
      </c>
      <c r="G95" s="55">
        <v>0</v>
      </c>
      <c r="H95" s="56">
        <v>1498000</v>
      </c>
      <c r="I95" s="55">
        <v>0</v>
      </c>
    </row>
    <row r="96" spans="1:9" x14ac:dyDescent="0.65">
      <c r="A96" s="53">
        <v>5958</v>
      </c>
      <c r="B96" s="24" t="s">
        <v>143</v>
      </c>
      <c r="C96" s="45">
        <v>309</v>
      </c>
      <c r="D96" s="45">
        <v>6</v>
      </c>
      <c r="E96" s="55">
        <v>0</v>
      </c>
      <c r="F96" s="55">
        <v>0</v>
      </c>
      <c r="G96" s="55">
        <v>0</v>
      </c>
      <c r="H96" s="56">
        <v>1500000</v>
      </c>
      <c r="I96" s="55">
        <v>0</v>
      </c>
    </row>
    <row r="97" spans="1:9" x14ac:dyDescent="0.65">
      <c r="A97" s="53">
        <v>5960</v>
      </c>
      <c r="B97" s="24" t="s">
        <v>144</v>
      </c>
      <c r="C97" s="45">
        <v>115</v>
      </c>
      <c r="D97" s="45">
        <v>6</v>
      </c>
      <c r="E97" s="55">
        <v>25920000</v>
      </c>
      <c r="F97" s="55">
        <v>50000000</v>
      </c>
      <c r="G97" s="55">
        <v>0</v>
      </c>
      <c r="H97" s="56">
        <v>0</v>
      </c>
      <c r="I97" s="55">
        <v>0</v>
      </c>
    </row>
    <row r="98" spans="1:9" x14ac:dyDescent="0.65">
      <c r="A98" s="53">
        <v>5961</v>
      </c>
      <c r="B98" s="24" t="s">
        <v>145</v>
      </c>
      <c r="C98" s="45">
        <v>1</v>
      </c>
      <c r="D98" s="45">
        <v>6</v>
      </c>
      <c r="E98" s="55">
        <v>25920000</v>
      </c>
      <c r="F98" s="55">
        <v>0</v>
      </c>
      <c r="G98" s="55">
        <v>0</v>
      </c>
      <c r="H98" s="56">
        <v>2000000</v>
      </c>
      <c r="I98" s="55">
        <v>0</v>
      </c>
    </row>
    <row r="99" spans="1:9" x14ac:dyDescent="0.65">
      <c r="A99" s="53">
        <v>5962</v>
      </c>
      <c r="B99" s="24" t="s">
        <v>146</v>
      </c>
      <c r="C99" s="45">
        <v>33</v>
      </c>
      <c r="D99" s="45">
        <v>6</v>
      </c>
      <c r="E99" s="55">
        <v>12960000</v>
      </c>
      <c r="F99" s="55">
        <v>40000000</v>
      </c>
      <c r="G99" s="55">
        <v>0</v>
      </c>
      <c r="H99" s="56">
        <v>0</v>
      </c>
      <c r="I99" s="55">
        <v>0</v>
      </c>
    </row>
    <row r="100" spans="1:9" x14ac:dyDescent="0.65">
      <c r="A100" s="53">
        <v>5963</v>
      </c>
      <c r="B100" s="24" t="s">
        <v>217</v>
      </c>
      <c r="C100" s="45">
        <v>310</v>
      </c>
      <c r="D100" s="45">
        <v>6</v>
      </c>
      <c r="E100" s="55">
        <v>0</v>
      </c>
      <c r="F100" s="55">
        <v>40000000</v>
      </c>
      <c r="G100" s="55">
        <v>0</v>
      </c>
      <c r="H100" s="56">
        <v>2964000</v>
      </c>
      <c r="I100" s="55">
        <v>0</v>
      </c>
    </row>
    <row r="101" spans="1:9" x14ac:dyDescent="0.65">
      <c r="A101" s="53">
        <v>5966</v>
      </c>
      <c r="B101" s="24" t="s">
        <v>147</v>
      </c>
      <c r="C101" s="45">
        <v>172</v>
      </c>
      <c r="D101" s="45">
        <v>6</v>
      </c>
      <c r="E101" s="55">
        <v>12960000</v>
      </c>
      <c r="F101" s="55">
        <v>0</v>
      </c>
      <c r="G101" s="55">
        <v>0</v>
      </c>
      <c r="H101" s="56">
        <v>0</v>
      </c>
      <c r="I101" s="55">
        <v>0</v>
      </c>
    </row>
    <row r="102" spans="1:9" x14ac:dyDescent="0.65">
      <c r="A102" s="53">
        <v>5968</v>
      </c>
      <c r="B102" s="24" t="s">
        <v>149</v>
      </c>
      <c r="C102" s="45">
        <v>202</v>
      </c>
      <c r="D102" s="45">
        <v>6</v>
      </c>
      <c r="E102" s="55">
        <v>19440000</v>
      </c>
      <c r="F102" s="55">
        <v>40000000</v>
      </c>
      <c r="G102" s="55">
        <v>0</v>
      </c>
      <c r="H102" s="56">
        <v>4494000</v>
      </c>
      <c r="I102" s="55">
        <v>0</v>
      </c>
    </row>
    <row r="103" spans="1:9" x14ac:dyDescent="0.65">
      <c r="A103" s="53">
        <v>5976</v>
      </c>
      <c r="B103" s="24" t="s">
        <v>150</v>
      </c>
      <c r="C103" s="45">
        <v>326</v>
      </c>
      <c r="D103" s="45">
        <v>6</v>
      </c>
      <c r="E103" s="55">
        <v>19440000</v>
      </c>
      <c r="F103" s="55">
        <v>0</v>
      </c>
      <c r="G103" s="55">
        <v>0</v>
      </c>
      <c r="H103" s="56">
        <v>0</v>
      </c>
      <c r="I103" s="55">
        <v>0</v>
      </c>
    </row>
    <row r="104" spans="1:9" x14ac:dyDescent="0.65">
      <c r="A104" s="53">
        <v>5981</v>
      </c>
      <c r="B104" s="24" t="s">
        <v>222</v>
      </c>
      <c r="C104" s="45">
        <v>335</v>
      </c>
      <c r="D104" s="45">
        <v>6</v>
      </c>
      <c r="E104" s="55">
        <v>0</v>
      </c>
      <c r="F104" s="55">
        <v>80000000</v>
      </c>
      <c r="G104" s="55">
        <v>0</v>
      </c>
      <c r="H104" s="56">
        <v>0</v>
      </c>
      <c r="I104" s="55">
        <v>0</v>
      </c>
    </row>
    <row r="105" spans="1:9" x14ac:dyDescent="0.65">
      <c r="A105" s="53">
        <v>5988</v>
      </c>
      <c r="B105" s="24" t="s">
        <v>152</v>
      </c>
      <c r="C105" s="45">
        <v>323</v>
      </c>
      <c r="D105" s="45">
        <v>6</v>
      </c>
      <c r="E105" s="55">
        <v>32400000</v>
      </c>
      <c r="F105" s="55">
        <v>0</v>
      </c>
      <c r="G105" s="55">
        <v>0</v>
      </c>
      <c r="H105" s="56">
        <v>2000000</v>
      </c>
      <c r="I105" s="55">
        <v>0</v>
      </c>
    </row>
    <row r="106" spans="1:9" x14ac:dyDescent="0.65">
      <c r="A106" s="53">
        <v>5995</v>
      </c>
      <c r="B106" s="24" t="s">
        <v>155</v>
      </c>
      <c r="C106" s="45">
        <v>328</v>
      </c>
      <c r="D106" s="45">
        <v>6</v>
      </c>
      <c r="E106" s="55">
        <v>6480000</v>
      </c>
      <c r="F106" s="55">
        <v>0</v>
      </c>
      <c r="G106" s="55">
        <v>0</v>
      </c>
      <c r="H106" s="56">
        <v>0</v>
      </c>
      <c r="I106" s="55">
        <v>0</v>
      </c>
    </row>
    <row r="107" spans="1:9" x14ac:dyDescent="0.65">
      <c r="A107" s="53">
        <v>6000</v>
      </c>
      <c r="B107" s="24" t="s">
        <v>157</v>
      </c>
      <c r="C107" s="45">
        <v>363</v>
      </c>
      <c r="D107" s="45">
        <v>6</v>
      </c>
      <c r="E107" s="55">
        <v>0</v>
      </c>
      <c r="F107" s="55">
        <v>0</v>
      </c>
      <c r="G107" s="55">
        <v>0</v>
      </c>
      <c r="H107" s="56">
        <v>3000000</v>
      </c>
      <c r="I107" s="55">
        <v>0</v>
      </c>
    </row>
    <row r="108" spans="1:9" x14ac:dyDescent="0.65">
      <c r="A108" s="53">
        <v>6004</v>
      </c>
      <c r="B108" s="24" t="s">
        <v>158</v>
      </c>
      <c r="C108" s="45">
        <v>352</v>
      </c>
      <c r="D108" s="45">
        <v>6</v>
      </c>
      <c r="E108" s="55">
        <v>25920000</v>
      </c>
      <c r="F108" s="55">
        <v>0</v>
      </c>
      <c r="G108" s="55">
        <v>0</v>
      </c>
      <c r="H108" s="56">
        <v>0</v>
      </c>
      <c r="I108" s="55">
        <v>0</v>
      </c>
    </row>
    <row r="109" spans="1:9" x14ac:dyDescent="0.65">
      <c r="A109" s="53">
        <v>6005</v>
      </c>
      <c r="B109" s="24" t="s">
        <v>228</v>
      </c>
      <c r="C109" s="45">
        <v>377</v>
      </c>
      <c r="D109" s="45">
        <v>6</v>
      </c>
      <c r="E109" s="55">
        <v>0</v>
      </c>
      <c r="F109" s="55">
        <v>250000002</v>
      </c>
      <c r="G109" s="55">
        <v>0</v>
      </c>
      <c r="H109" s="56">
        <v>0</v>
      </c>
      <c r="I109" s="55">
        <v>0</v>
      </c>
    </row>
    <row r="110" spans="1:9" x14ac:dyDescent="0.65">
      <c r="A110" s="53">
        <v>6006</v>
      </c>
      <c r="B110" s="24" t="s">
        <v>159</v>
      </c>
      <c r="C110" s="45">
        <v>341</v>
      </c>
      <c r="D110" s="45">
        <v>6</v>
      </c>
      <c r="E110" s="55">
        <v>6480000</v>
      </c>
      <c r="F110" s="55">
        <v>0</v>
      </c>
      <c r="G110" s="55">
        <v>0</v>
      </c>
      <c r="H110" s="56">
        <v>1500000</v>
      </c>
      <c r="I110" s="55">
        <v>0</v>
      </c>
    </row>
    <row r="111" spans="1:9" x14ac:dyDescent="0.65">
      <c r="A111" s="53">
        <v>6015</v>
      </c>
      <c r="B111" s="24" t="s">
        <v>162</v>
      </c>
      <c r="C111" s="45">
        <v>359</v>
      </c>
      <c r="D111" s="45">
        <v>6</v>
      </c>
      <c r="E111" s="55">
        <v>0</v>
      </c>
      <c r="F111" s="55">
        <v>40000000</v>
      </c>
      <c r="G111" s="55">
        <v>0</v>
      </c>
      <c r="H111" s="56">
        <v>0</v>
      </c>
      <c r="I111" s="55">
        <v>0</v>
      </c>
    </row>
    <row r="112" spans="1:9" x14ac:dyDescent="0.65">
      <c r="A112" s="53">
        <v>6020</v>
      </c>
      <c r="B112" s="24" t="s">
        <v>167</v>
      </c>
      <c r="C112" s="45">
        <v>425</v>
      </c>
      <c r="D112" s="45">
        <v>6</v>
      </c>
      <c r="E112" s="55">
        <v>0</v>
      </c>
      <c r="F112" s="55">
        <v>0</v>
      </c>
      <c r="G112" s="55">
        <v>13783502</v>
      </c>
      <c r="H112" s="56">
        <v>0</v>
      </c>
      <c r="I112" s="55">
        <v>0</v>
      </c>
    </row>
    <row r="113" spans="1:9" x14ac:dyDescent="0.65">
      <c r="A113" s="53">
        <v>6026</v>
      </c>
      <c r="B113" s="24" t="s">
        <v>170</v>
      </c>
      <c r="C113" s="45">
        <v>370</v>
      </c>
      <c r="D113" s="45">
        <v>6</v>
      </c>
      <c r="E113" s="55">
        <v>6480000</v>
      </c>
      <c r="F113" s="55">
        <v>0</v>
      </c>
      <c r="G113" s="55">
        <v>0</v>
      </c>
      <c r="H113" s="56">
        <v>0</v>
      </c>
      <c r="I113" s="55">
        <v>0</v>
      </c>
    </row>
    <row r="114" spans="1:9" x14ac:dyDescent="0.65">
      <c r="A114" s="53">
        <v>6028</v>
      </c>
      <c r="B114" s="24" t="s">
        <v>171</v>
      </c>
      <c r="C114" s="45">
        <v>398</v>
      </c>
      <c r="D114" s="45">
        <v>6</v>
      </c>
      <c r="E114" s="55">
        <v>12960000</v>
      </c>
      <c r="F114" s="55">
        <v>0</v>
      </c>
      <c r="G114" s="55">
        <v>0</v>
      </c>
      <c r="H114" s="56">
        <v>0</v>
      </c>
      <c r="I114" s="55">
        <v>0</v>
      </c>
    </row>
    <row r="115" spans="1:9" x14ac:dyDescent="0.65">
      <c r="A115" s="53">
        <v>6037</v>
      </c>
      <c r="B115" s="24" t="s">
        <v>174</v>
      </c>
      <c r="C115" s="45">
        <v>387</v>
      </c>
      <c r="D115" s="45">
        <v>6</v>
      </c>
      <c r="E115" s="55">
        <v>25920000</v>
      </c>
      <c r="F115" s="55">
        <v>33333333</v>
      </c>
      <c r="G115" s="55">
        <v>0</v>
      </c>
      <c r="H115" s="56">
        <v>0</v>
      </c>
      <c r="I115" s="55">
        <v>0</v>
      </c>
    </row>
    <row r="116" spans="1:9" x14ac:dyDescent="0.65">
      <c r="A116" s="53">
        <v>6041</v>
      </c>
      <c r="B116" s="24" t="s">
        <v>175</v>
      </c>
      <c r="C116" s="45">
        <v>338</v>
      </c>
      <c r="D116" s="45">
        <v>6</v>
      </c>
      <c r="E116" s="55">
        <v>25920000</v>
      </c>
      <c r="F116" s="55">
        <v>0</v>
      </c>
      <c r="G116" s="55">
        <v>0</v>
      </c>
      <c r="H116" s="56">
        <v>0</v>
      </c>
      <c r="I116" s="55">
        <v>0</v>
      </c>
    </row>
    <row r="117" spans="1:9" x14ac:dyDescent="0.65">
      <c r="A117" s="53">
        <v>6042</v>
      </c>
      <c r="B117" s="24" t="s">
        <v>176</v>
      </c>
      <c r="C117" s="45">
        <v>378</v>
      </c>
      <c r="D117" s="45">
        <v>6</v>
      </c>
      <c r="E117" s="55">
        <v>6480000</v>
      </c>
      <c r="F117" s="55">
        <v>0</v>
      </c>
      <c r="G117" s="55">
        <v>0</v>
      </c>
      <c r="H117" s="56">
        <v>0</v>
      </c>
      <c r="I117" s="55">
        <v>0</v>
      </c>
    </row>
    <row r="118" spans="1:9" x14ac:dyDescent="0.65">
      <c r="A118" s="53">
        <v>6045</v>
      </c>
      <c r="B118" s="24" t="s">
        <v>178</v>
      </c>
      <c r="C118" s="45">
        <v>388</v>
      </c>
      <c r="D118" s="45">
        <v>6</v>
      </c>
      <c r="E118" s="55">
        <v>12960000</v>
      </c>
      <c r="F118" s="55">
        <v>0</v>
      </c>
      <c r="G118" s="55">
        <v>0</v>
      </c>
      <c r="H118" s="56">
        <v>1500000</v>
      </c>
      <c r="I118" s="55">
        <v>0</v>
      </c>
    </row>
    <row r="119" spans="1:9" x14ac:dyDescent="0.65">
      <c r="A119" s="53">
        <v>6046</v>
      </c>
      <c r="B119" s="24" t="s">
        <v>179</v>
      </c>
      <c r="C119" s="45">
        <v>396</v>
      </c>
      <c r="D119" s="45">
        <v>6</v>
      </c>
      <c r="E119" s="55">
        <v>0</v>
      </c>
      <c r="F119" s="55">
        <v>40000000</v>
      </c>
      <c r="G119" s="55">
        <v>0</v>
      </c>
      <c r="H119" s="56">
        <v>0</v>
      </c>
      <c r="I119" s="55">
        <v>0</v>
      </c>
    </row>
    <row r="120" spans="1:9" x14ac:dyDescent="0.65">
      <c r="A120" s="53">
        <v>6055</v>
      </c>
      <c r="B120" s="24" t="s">
        <v>180</v>
      </c>
      <c r="C120" s="45">
        <v>400</v>
      </c>
      <c r="D120" s="45">
        <v>6</v>
      </c>
      <c r="E120" s="55">
        <v>6480000</v>
      </c>
      <c r="F120" s="55">
        <v>0</v>
      </c>
      <c r="G120" s="55">
        <v>0</v>
      </c>
      <c r="H120" s="56">
        <v>0</v>
      </c>
      <c r="I120" s="55">
        <v>0</v>
      </c>
    </row>
    <row r="121" spans="1:9" x14ac:dyDescent="0.65">
      <c r="A121" s="53">
        <v>6057</v>
      </c>
      <c r="B121" s="24" t="s">
        <v>181</v>
      </c>
      <c r="C121" s="45">
        <v>395</v>
      </c>
      <c r="D121" s="45">
        <v>6</v>
      </c>
      <c r="E121" s="55">
        <v>0</v>
      </c>
      <c r="F121" s="55">
        <v>0</v>
      </c>
      <c r="G121" s="55">
        <v>0</v>
      </c>
      <c r="H121" s="56">
        <v>4000000</v>
      </c>
      <c r="I121" s="55">
        <v>0</v>
      </c>
    </row>
    <row r="122" spans="1:9" x14ac:dyDescent="0.65">
      <c r="A122" s="53">
        <v>6059</v>
      </c>
      <c r="B122" s="24" t="s">
        <v>182</v>
      </c>
      <c r="C122" s="45">
        <v>201</v>
      </c>
      <c r="D122" s="45">
        <v>6</v>
      </c>
      <c r="E122" s="55">
        <v>0</v>
      </c>
      <c r="F122" s="55">
        <v>0</v>
      </c>
      <c r="G122" s="55">
        <v>25400739</v>
      </c>
      <c r="H122" s="56">
        <v>0</v>
      </c>
      <c r="I122" s="55">
        <v>0</v>
      </c>
    </row>
    <row r="123" spans="1:9" x14ac:dyDescent="0.65">
      <c r="A123" s="53">
        <v>6061</v>
      </c>
      <c r="B123" s="24" t="s">
        <v>183</v>
      </c>
      <c r="C123" s="45">
        <v>407</v>
      </c>
      <c r="D123" s="45">
        <v>6</v>
      </c>
      <c r="E123" s="55">
        <v>0</v>
      </c>
      <c r="F123" s="55">
        <v>40000000</v>
      </c>
      <c r="G123" s="55">
        <v>0</v>
      </c>
      <c r="H123" s="56">
        <v>0</v>
      </c>
      <c r="I123" s="55">
        <v>0</v>
      </c>
    </row>
    <row r="124" spans="1:9" x14ac:dyDescent="0.65">
      <c r="A124" s="53">
        <v>6064</v>
      </c>
      <c r="B124" s="24" t="s">
        <v>184</v>
      </c>
      <c r="C124" s="45">
        <v>412</v>
      </c>
      <c r="D124" s="45">
        <v>6</v>
      </c>
      <c r="E124" s="55">
        <v>12960000</v>
      </c>
      <c r="F124" s="55">
        <v>0</v>
      </c>
      <c r="G124" s="55">
        <v>0</v>
      </c>
      <c r="H124" s="56">
        <v>1500000</v>
      </c>
      <c r="I124" s="55">
        <v>0</v>
      </c>
    </row>
    <row r="125" spans="1:9" x14ac:dyDescent="0.65">
      <c r="A125" s="53">
        <v>6069</v>
      </c>
      <c r="B125" s="24" t="s">
        <v>185</v>
      </c>
      <c r="C125" s="45">
        <v>418</v>
      </c>
      <c r="D125" s="45">
        <v>6</v>
      </c>
      <c r="E125" s="55">
        <v>12960000</v>
      </c>
      <c r="F125" s="55">
        <v>0</v>
      </c>
      <c r="G125" s="55">
        <v>0</v>
      </c>
      <c r="H125" s="56">
        <v>0</v>
      </c>
      <c r="I125" s="55">
        <v>0</v>
      </c>
    </row>
    <row r="126" spans="1:9" x14ac:dyDescent="0.65">
      <c r="A126" s="53">
        <v>6079</v>
      </c>
      <c r="B126" s="24" t="s">
        <v>189</v>
      </c>
      <c r="C126" s="45">
        <v>433</v>
      </c>
      <c r="D126" s="45">
        <v>6</v>
      </c>
      <c r="E126" s="55">
        <v>19440000</v>
      </c>
      <c r="F126" s="55">
        <v>0</v>
      </c>
      <c r="G126" s="55">
        <v>0</v>
      </c>
      <c r="H126" s="56">
        <v>0</v>
      </c>
      <c r="I126" s="55">
        <v>0</v>
      </c>
    </row>
    <row r="127" spans="1:9" x14ac:dyDescent="0.65">
      <c r="A127" s="53">
        <v>6084</v>
      </c>
      <c r="B127" s="24" t="s">
        <v>190</v>
      </c>
      <c r="C127" s="45">
        <v>416</v>
      </c>
      <c r="D127" s="45">
        <v>6</v>
      </c>
      <c r="E127" s="55">
        <v>12960000</v>
      </c>
      <c r="F127" s="55">
        <v>0</v>
      </c>
      <c r="G127" s="55">
        <v>0</v>
      </c>
      <c r="H127" s="56">
        <v>0</v>
      </c>
      <c r="I127" s="55">
        <v>0</v>
      </c>
    </row>
    <row r="128" spans="1:9" x14ac:dyDescent="0.65">
      <c r="A128" s="53">
        <v>6087</v>
      </c>
      <c r="B128" s="24" t="s">
        <v>191</v>
      </c>
      <c r="C128" s="45">
        <v>443</v>
      </c>
      <c r="D128" s="45">
        <v>6</v>
      </c>
      <c r="E128" s="55">
        <v>19440000</v>
      </c>
      <c r="F128" s="55">
        <v>0</v>
      </c>
      <c r="G128" s="55">
        <v>0</v>
      </c>
      <c r="H128" s="56">
        <v>0</v>
      </c>
      <c r="I128" s="55">
        <v>0</v>
      </c>
    </row>
    <row r="129" spans="1:9" x14ac:dyDescent="0.65">
      <c r="A129" s="53">
        <v>6089</v>
      </c>
      <c r="B129" s="24" t="s">
        <v>193</v>
      </c>
      <c r="C129" s="45">
        <v>440</v>
      </c>
      <c r="D129" s="45">
        <v>6</v>
      </c>
      <c r="E129" s="55">
        <v>32400000</v>
      </c>
      <c r="F129" s="55">
        <v>0</v>
      </c>
      <c r="G129" s="55">
        <v>724350</v>
      </c>
      <c r="H129" s="56">
        <v>0</v>
      </c>
      <c r="I129" s="55">
        <v>0</v>
      </c>
    </row>
    <row r="130" spans="1:9" x14ac:dyDescent="0.65">
      <c r="A130" s="53">
        <v>6092</v>
      </c>
      <c r="B130" s="24" t="s">
        <v>194</v>
      </c>
      <c r="C130" s="45">
        <v>445</v>
      </c>
      <c r="D130" s="45">
        <v>6</v>
      </c>
      <c r="E130" s="55">
        <v>6480000</v>
      </c>
      <c r="F130" s="55">
        <v>0</v>
      </c>
      <c r="G130" s="55">
        <v>0</v>
      </c>
      <c r="H130" s="56">
        <v>0</v>
      </c>
      <c r="I130" s="55">
        <v>0</v>
      </c>
    </row>
    <row r="131" spans="1:9" x14ac:dyDescent="0.65">
      <c r="A131" s="53">
        <v>6093</v>
      </c>
      <c r="B131" s="24" t="s">
        <v>195</v>
      </c>
      <c r="C131" s="45">
        <v>447</v>
      </c>
      <c r="D131" s="45">
        <v>6</v>
      </c>
      <c r="E131" s="55">
        <v>25920000</v>
      </c>
      <c r="F131" s="55">
        <v>0</v>
      </c>
      <c r="G131" s="55">
        <v>0</v>
      </c>
      <c r="H131" s="56">
        <v>0</v>
      </c>
      <c r="I131" s="55">
        <v>0</v>
      </c>
    </row>
    <row r="132" spans="1:9" x14ac:dyDescent="0.65">
      <c r="A132" s="53">
        <v>6099</v>
      </c>
      <c r="B132" s="24" t="s">
        <v>199</v>
      </c>
      <c r="C132" s="45">
        <v>468</v>
      </c>
      <c r="D132" s="45">
        <v>6</v>
      </c>
      <c r="E132" s="55">
        <v>12960000</v>
      </c>
      <c r="F132" s="55">
        <v>100000000</v>
      </c>
      <c r="G132" s="55">
        <v>0</v>
      </c>
      <c r="H132" s="56">
        <v>4000000</v>
      </c>
      <c r="I132" s="55">
        <v>0</v>
      </c>
    </row>
    <row r="133" spans="1:9" x14ac:dyDescent="0.65">
      <c r="A133" s="53">
        <v>6100</v>
      </c>
      <c r="B133" s="24" t="s">
        <v>235</v>
      </c>
      <c r="C133" s="45">
        <v>460</v>
      </c>
      <c r="D133" s="45">
        <v>6</v>
      </c>
      <c r="E133" s="55">
        <v>0</v>
      </c>
      <c r="F133" s="55">
        <v>0</v>
      </c>
      <c r="G133" s="55">
        <v>0</v>
      </c>
      <c r="H133" s="56">
        <v>1500000</v>
      </c>
      <c r="I133" s="55">
        <v>0</v>
      </c>
    </row>
    <row r="134" spans="1:9" x14ac:dyDescent="0.65">
      <c r="A134" s="53">
        <v>6102</v>
      </c>
      <c r="B134" s="24" t="s">
        <v>200</v>
      </c>
      <c r="C134" s="45">
        <v>459</v>
      </c>
      <c r="D134" s="45">
        <v>6</v>
      </c>
      <c r="E134" s="55">
        <v>25920000</v>
      </c>
      <c r="F134" s="55">
        <v>0</v>
      </c>
      <c r="G134" s="55">
        <v>0</v>
      </c>
      <c r="H134" s="56">
        <v>0</v>
      </c>
      <c r="I134" s="55">
        <v>0</v>
      </c>
    </row>
    <row r="135" spans="1:9" x14ac:dyDescent="0.65">
      <c r="A135" s="53">
        <v>6103</v>
      </c>
      <c r="B135" s="24" t="s">
        <v>201</v>
      </c>
      <c r="C135" s="45">
        <v>469</v>
      </c>
      <c r="D135" s="45">
        <v>6</v>
      </c>
      <c r="E135" s="55">
        <v>0</v>
      </c>
      <c r="F135" s="55">
        <v>0</v>
      </c>
      <c r="G135" s="55">
        <v>0</v>
      </c>
      <c r="H135" s="56">
        <v>3400000</v>
      </c>
      <c r="I135" s="55">
        <v>0</v>
      </c>
    </row>
    <row r="136" spans="1:9" x14ac:dyDescent="0.65">
      <c r="A136" s="53">
        <v>6105</v>
      </c>
      <c r="B136" s="24" t="s">
        <v>245</v>
      </c>
      <c r="C136" s="45">
        <v>461</v>
      </c>
      <c r="D136" s="45">
        <v>6</v>
      </c>
      <c r="E136" s="55">
        <v>12960000</v>
      </c>
      <c r="F136" s="55">
        <v>0</v>
      </c>
      <c r="G136" s="55">
        <v>0</v>
      </c>
      <c r="H136" s="56">
        <v>0</v>
      </c>
      <c r="I136" s="55">
        <v>0</v>
      </c>
    </row>
    <row r="137" spans="1:9" x14ac:dyDescent="0.65">
      <c r="A137" s="53">
        <v>6107</v>
      </c>
      <c r="B137" s="24" t="s">
        <v>267</v>
      </c>
      <c r="C137" s="45">
        <v>470</v>
      </c>
      <c r="D137" s="45">
        <v>6</v>
      </c>
      <c r="E137" s="55">
        <v>0</v>
      </c>
      <c r="F137" s="55">
        <v>0</v>
      </c>
      <c r="G137" s="55">
        <v>0</v>
      </c>
      <c r="H137" s="56">
        <v>6000000</v>
      </c>
      <c r="I137" s="55">
        <v>0</v>
      </c>
    </row>
    <row r="138" spans="1:9" x14ac:dyDescent="0.65">
      <c r="A138" s="53">
        <v>6112</v>
      </c>
      <c r="B138" s="24" t="s">
        <v>239</v>
      </c>
      <c r="C138" s="45">
        <v>456</v>
      </c>
      <c r="D138" s="45">
        <v>6</v>
      </c>
      <c r="E138" s="55">
        <v>6480000</v>
      </c>
      <c r="F138" s="55">
        <v>0</v>
      </c>
      <c r="G138" s="55">
        <v>0</v>
      </c>
      <c r="H138" s="56">
        <v>0</v>
      </c>
      <c r="I138" s="55">
        <v>0</v>
      </c>
    </row>
    <row r="139" spans="1:9" x14ac:dyDescent="0.65">
      <c r="A139" s="53">
        <v>6113</v>
      </c>
      <c r="B139" s="24" t="s">
        <v>240</v>
      </c>
      <c r="C139" s="45">
        <v>488</v>
      </c>
      <c r="D139" s="45">
        <v>6</v>
      </c>
      <c r="E139" s="55">
        <v>12960000</v>
      </c>
      <c r="F139" s="55">
        <v>0</v>
      </c>
      <c r="G139" s="55">
        <v>0</v>
      </c>
      <c r="H139" s="56">
        <v>0</v>
      </c>
      <c r="I139" s="55">
        <v>0</v>
      </c>
    </row>
    <row r="140" spans="1:9" x14ac:dyDescent="0.65">
      <c r="A140" s="53">
        <v>6114</v>
      </c>
      <c r="B140" s="24" t="s">
        <v>241</v>
      </c>
      <c r="C140" s="45">
        <v>467</v>
      </c>
      <c r="D140" s="45">
        <v>6</v>
      </c>
      <c r="E140" s="55">
        <v>19440000</v>
      </c>
      <c r="F140" s="55">
        <v>100000000</v>
      </c>
      <c r="G140" s="55">
        <v>0</v>
      </c>
      <c r="H140" s="56">
        <v>0</v>
      </c>
      <c r="I140" s="55">
        <v>0</v>
      </c>
    </row>
    <row r="141" spans="1:9" x14ac:dyDescent="0.65">
      <c r="A141" s="53">
        <v>6116</v>
      </c>
      <c r="B141" s="24" t="s">
        <v>242</v>
      </c>
      <c r="C141" s="45">
        <v>485</v>
      </c>
      <c r="D141" s="45">
        <v>6</v>
      </c>
      <c r="E141" s="55">
        <v>19440000</v>
      </c>
      <c r="F141" s="55">
        <v>0</v>
      </c>
      <c r="G141" s="55">
        <v>0</v>
      </c>
      <c r="H141" s="56">
        <v>0</v>
      </c>
      <c r="I141" s="55">
        <v>0</v>
      </c>
    </row>
    <row r="142" spans="1:9" x14ac:dyDescent="0.65">
      <c r="A142" s="53">
        <v>6123</v>
      </c>
      <c r="B142" s="24" t="s">
        <v>264</v>
      </c>
      <c r="C142" s="45">
        <v>484</v>
      </c>
      <c r="D142" s="45">
        <v>6</v>
      </c>
      <c r="E142" s="55">
        <v>12960000</v>
      </c>
      <c r="F142" s="55">
        <v>0</v>
      </c>
      <c r="G142" s="55">
        <v>0</v>
      </c>
      <c r="H142" s="56">
        <v>0</v>
      </c>
      <c r="I142" s="55">
        <v>0</v>
      </c>
    </row>
    <row r="143" spans="1:9" x14ac:dyDescent="0.65">
      <c r="A143" s="53">
        <v>6133</v>
      </c>
      <c r="B143" s="24" t="s">
        <v>265</v>
      </c>
      <c r="C143" s="45">
        <v>501</v>
      </c>
      <c r="D143" s="45">
        <v>6</v>
      </c>
      <c r="E143" s="55">
        <v>0</v>
      </c>
      <c r="F143" s="55">
        <v>330000000</v>
      </c>
      <c r="G143" s="55">
        <v>0</v>
      </c>
      <c r="H143" s="56">
        <v>4000000</v>
      </c>
      <c r="I143" s="55">
        <v>0</v>
      </c>
    </row>
    <row r="144" spans="1:9" x14ac:dyDescent="0.65">
      <c r="A144" s="53">
        <v>6136</v>
      </c>
      <c r="B144" s="24" t="s">
        <v>266</v>
      </c>
      <c r="C144" s="45">
        <v>506</v>
      </c>
      <c r="D144" s="45">
        <v>6</v>
      </c>
      <c r="E144" s="55">
        <v>12960000</v>
      </c>
      <c r="F144" s="55">
        <v>0</v>
      </c>
      <c r="G144" s="55">
        <v>0</v>
      </c>
      <c r="H144" s="56">
        <v>0</v>
      </c>
      <c r="I144" s="55">
        <v>0</v>
      </c>
    </row>
    <row r="145" spans="1:9" x14ac:dyDescent="0.65">
      <c r="A145" s="53">
        <v>6447</v>
      </c>
      <c r="B145" s="24" t="s">
        <v>204</v>
      </c>
      <c r="C145" s="45">
        <v>91</v>
      </c>
      <c r="D145" s="45">
        <v>6</v>
      </c>
      <c r="E145" s="55">
        <v>19440000</v>
      </c>
      <c r="F145" s="55">
        <v>0</v>
      </c>
      <c r="G145" s="55">
        <v>0</v>
      </c>
      <c r="H145" s="56">
        <v>0</v>
      </c>
      <c r="I145" s="55">
        <v>0</v>
      </c>
    </row>
    <row r="146" spans="1:9" x14ac:dyDescent="0.65">
      <c r="A146" s="53">
        <v>9015</v>
      </c>
      <c r="B146" s="24" t="s">
        <v>205</v>
      </c>
      <c r="C146" s="45">
        <v>4</v>
      </c>
      <c r="D146" s="45">
        <v>6</v>
      </c>
      <c r="E146" s="55">
        <v>6480000</v>
      </c>
      <c r="F146" s="55">
        <v>0</v>
      </c>
      <c r="G146" s="55">
        <v>0</v>
      </c>
      <c r="H146" s="56">
        <v>0</v>
      </c>
      <c r="I146" s="55">
        <v>0</v>
      </c>
    </row>
  </sheetData>
  <autoFilter ref="A1:I146" xr:uid="{7E895EE3-ACC5-4559-97D3-6EA21F969E5D}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9B13-4A32-49FA-B666-2FA04F448810}">
  <dimension ref="A1:I251"/>
  <sheetViews>
    <sheetView rightToLeft="1" workbookViewId="0">
      <pane ySplit="1" topLeftCell="A2" activePane="bottomLeft" state="frozen"/>
      <selection pane="bottomLeft" sqref="A1:XFD1"/>
    </sheetView>
  </sheetViews>
  <sheetFormatPr defaultRowHeight="22.5" x14ac:dyDescent="0.65"/>
  <cols>
    <col min="1" max="1" width="7.75" style="22" bestFit="1" customWidth="1"/>
    <col min="2" max="2" width="24.25" style="22" bestFit="1" customWidth="1"/>
    <col min="3" max="3" width="8.375" style="54" bestFit="1" customWidth="1"/>
    <col min="4" max="4" width="7.375" style="54" bestFit="1" customWidth="1"/>
    <col min="5" max="5" width="6.625" style="54" bestFit="1" customWidth="1"/>
    <col min="6" max="6" width="12.375" style="2" bestFit="1" customWidth="1"/>
    <col min="7" max="7" width="11.125" style="2" bestFit="1" customWidth="1"/>
    <col min="8" max="8" width="15.25" style="2" bestFit="1" customWidth="1"/>
    <col min="9" max="9" width="11.75" style="57" bestFit="1" customWidth="1"/>
    <col min="10" max="16384" width="9" style="21"/>
  </cols>
  <sheetData>
    <row r="1" spans="1:9" x14ac:dyDescent="0.65">
      <c r="A1" s="24" t="s">
        <v>0</v>
      </c>
      <c r="B1" s="24" t="s">
        <v>1</v>
      </c>
      <c r="C1" s="41" t="s">
        <v>248</v>
      </c>
      <c r="D1" s="41" t="s">
        <v>283</v>
      </c>
      <c r="E1" s="41" t="s">
        <v>206</v>
      </c>
      <c r="F1" s="29" t="s">
        <v>209</v>
      </c>
      <c r="G1" s="29" t="s">
        <v>207</v>
      </c>
      <c r="H1" s="29" t="s">
        <v>208</v>
      </c>
      <c r="I1" s="58" t="s">
        <v>247</v>
      </c>
    </row>
    <row r="2" spans="1:9" x14ac:dyDescent="0.65">
      <c r="A2" s="23">
        <v>3567</v>
      </c>
      <c r="B2" s="24" t="s">
        <v>3</v>
      </c>
      <c r="C2" s="45">
        <v>57</v>
      </c>
      <c r="D2" s="45">
        <v>1404</v>
      </c>
      <c r="E2" s="45">
        <v>7</v>
      </c>
      <c r="F2" s="29">
        <v>19900000</v>
      </c>
      <c r="G2" s="29">
        <v>40000000</v>
      </c>
      <c r="H2" s="29">
        <v>0</v>
      </c>
      <c r="I2" s="56">
        <v>0</v>
      </c>
    </row>
    <row r="3" spans="1:9" x14ac:dyDescent="0.65">
      <c r="A3" s="23">
        <v>3607</v>
      </c>
      <c r="B3" s="24" t="s">
        <v>4</v>
      </c>
      <c r="C3" s="45">
        <v>119</v>
      </c>
      <c r="D3" s="45">
        <v>1404</v>
      </c>
      <c r="E3" s="45">
        <v>7</v>
      </c>
      <c r="F3" s="29">
        <v>49750000</v>
      </c>
      <c r="G3" s="29">
        <v>0</v>
      </c>
      <c r="H3" s="29">
        <v>0</v>
      </c>
      <c r="I3" s="56">
        <v>0</v>
      </c>
    </row>
    <row r="4" spans="1:9" x14ac:dyDescent="0.65">
      <c r="A4" s="23">
        <v>3653</v>
      </c>
      <c r="B4" s="24" t="s">
        <v>5</v>
      </c>
      <c r="C4" s="45">
        <v>34</v>
      </c>
      <c r="D4" s="45">
        <v>1404</v>
      </c>
      <c r="E4" s="45">
        <v>7</v>
      </c>
      <c r="F4" s="29">
        <v>49750000</v>
      </c>
      <c r="G4" s="29">
        <v>0</v>
      </c>
      <c r="H4" s="29">
        <v>0</v>
      </c>
      <c r="I4" s="56">
        <v>6716000</v>
      </c>
    </row>
    <row r="5" spans="1:9" x14ac:dyDescent="0.65">
      <c r="A5" s="23">
        <v>4590</v>
      </c>
      <c r="B5" s="24" t="s">
        <v>6</v>
      </c>
      <c r="C5" s="45">
        <v>30</v>
      </c>
      <c r="D5" s="45">
        <v>1404</v>
      </c>
      <c r="E5" s="45">
        <v>7</v>
      </c>
      <c r="F5" s="29">
        <v>0</v>
      </c>
      <c r="G5" s="29">
        <v>40000000</v>
      </c>
      <c r="H5" s="29">
        <v>0</v>
      </c>
      <c r="I5" s="56">
        <v>0</v>
      </c>
    </row>
    <row r="6" spans="1:9" x14ac:dyDescent="0.65">
      <c r="A6" s="23">
        <v>4597</v>
      </c>
      <c r="B6" s="24" t="s">
        <v>7</v>
      </c>
      <c r="C6" s="45">
        <v>38</v>
      </c>
      <c r="D6" s="45">
        <v>1404</v>
      </c>
      <c r="E6" s="45">
        <v>7</v>
      </c>
      <c r="F6" s="29">
        <v>39800000</v>
      </c>
      <c r="G6" s="29">
        <v>60000000</v>
      </c>
      <c r="H6" s="29">
        <v>0</v>
      </c>
      <c r="I6" s="56">
        <v>2000000</v>
      </c>
    </row>
    <row r="7" spans="1:9" x14ac:dyDescent="0.65">
      <c r="A7" s="23">
        <v>4598</v>
      </c>
      <c r="B7" s="24" t="s">
        <v>8</v>
      </c>
      <c r="C7" s="45">
        <v>129</v>
      </c>
      <c r="D7" s="45">
        <v>1404</v>
      </c>
      <c r="E7" s="45">
        <v>7</v>
      </c>
      <c r="F7" s="29">
        <v>39800000</v>
      </c>
      <c r="G7" s="29">
        <v>40000000</v>
      </c>
      <c r="H7" s="29">
        <v>0</v>
      </c>
      <c r="I7" s="56">
        <v>0</v>
      </c>
    </row>
    <row r="8" spans="1:9" x14ac:dyDescent="0.65">
      <c r="A8" s="23">
        <v>4614</v>
      </c>
      <c r="B8" s="24" t="s">
        <v>9</v>
      </c>
      <c r="C8" s="45">
        <v>140</v>
      </c>
      <c r="D8" s="45">
        <v>1404</v>
      </c>
      <c r="E8" s="45">
        <v>7</v>
      </c>
      <c r="F8" s="29">
        <v>9950000</v>
      </c>
      <c r="G8" s="29">
        <v>0</v>
      </c>
      <c r="H8" s="29">
        <v>0</v>
      </c>
      <c r="I8" s="56">
        <v>4500000</v>
      </c>
    </row>
    <row r="9" spans="1:9" x14ac:dyDescent="0.65">
      <c r="A9" s="23">
        <v>4622</v>
      </c>
      <c r="B9" s="24" t="s">
        <v>11</v>
      </c>
      <c r="C9" s="45">
        <v>35</v>
      </c>
      <c r="D9" s="45">
        <v>1404</v>
      </c>
      <c r="E9" s="45">
        <v>7</v>
      </c>
      <c r="F9" s="29">
        <v>39800000</v>
      </c>
      <c r="G9" s="29">
        <v>0</v>
      </c>
      <c r="H9" s="29">
        <v>0</v>
      </c>
      <c r="I9" s="56">
        <v>3000000</v>
      </c>
    </row>
    <row r="10" spans="1:9" x14ac:dyDescent="0.65">
      <c r="A10" s="23">
        <v>4636</v>
      </c>
      <c r="B10" s="24" t="s">
        <v>12</v>
      </c>
      <c r="C10" s="45">
        <v>62</v>
      </c>
      <c r="D10" s="45">
        <v>1404</v>
      </c>
      <c r="E10" s="45">
        <v>7</v>
      </c>
      <c r="F10" s="29">
        <v>49750000</v>
      </c>
      <c r="G10" s="29">
        <v>0</v>
      </c>
      <c r="H10" s="29">
        <v>0</v>
      </c>
      <c r="I10" s="56">
        <v>0</v>
      </c>
    </row>
    <row r="11" spans="1:9" x14ac:dyDescent="0.65">
      <c r="A11" s="23">
        <v>4640</v>
      </c>
      <c r="B11" s="24" t="s">
        <v>13</v>
      </c>
      <c r="C11" s="45">
        <v>32</v>
      </c>
      <c r="D11" s="45">
        <v>1404</v>
      </c>
      <c r="E11" s="45">
        <v>7</v>
      </c>
      <c r="F11" s="29">
        <v>0</v>
      </c>
      <c r="G11" s="29">
        <v>0</v>
      </c>
      <c r="H11" s="29">
        <v>0</v>
      </c>
      <c r="I11" s="56">
        <v>0</v>
      </c>
    </row>
    <row r="12" spans="1:9" x14ac:dyDescent="0.65">
      <c r="A12" s="23">
        <v>4643</v>
      </c>
      <c r="B12" s="24" t="s">
        <v>14</v>
      </c>
      <c r="C12" s="45">
        <v>25</v>
      </c>
      <c r="D12" s="45">
        <v>1404</v>
      </c>
      <c r="E12" s="45">
        <v>7</v>
      </c>
      <c r="F12" s="29">
        <v>0</v>
      </c>
      <c r="G12" s="29">
        <v>0</v>
      </c>
      <c r="H12" s="29">
        <v>0</v>
      </c>
      <c r="I12" s="56">
        <v>0</v>
      </c>
    </row>
    <row r="13" spans="1:9" x14ac:dyDescent="0.65">
      <c r="A13" s="23">
        <v>4648</v>
      </c>
      <c r="B13" s="24" t="s">
        <v>15</v>
      </c>
      <c r="C13" s="45">
        <v>160</v>
      </c>
      <c r="D13" s="45">
        <v>1404</v>
      </c>
      <c r="E13" s="45">
        <v>7</v>
      </c>
      <c r="F13" s="29">
        <v>29850000</v>
      </c>
      <c r="G13" s="29">
        <v>0</v>
      </c>
      <c r="H13" s="29">
        <v>0</v>
      </c>
      <c r="I13" s="56">
        <v>2928000</v>
      </c>
    </row>
    <row r="14" spans="1:9" x14ac:dyDescent="0.65">
      <c r="A14" s="23">
        <v>4651</v>
      </c>
      <c r="B14" s="24" t="s">
        <v>16</v>
      </c>
      <c r="C14" s="45">
        <v>52</v>
      </c>
      <c r="D14" s="45">
        <v>1404</v>
      </c>
      <c r="E14" s="45">
        <v>7</v>
      </c>
      <c r="F14" s="29">
        <v>69650000</v>
      </c>
      <c r="G14" s="29">
        <v>0</v>
      </c>
      <c r="H14" s="29">
        <v>0</v>
      </c>
      <c r="I14" s="56">
        <v>4392000</v>
      </c>
    </row>
    <row r="15" spans="1:9" x14ac:dyDescent="0.65">
      <c r="A15" s="23">
        <v>4654</v>
      </c>
      <c r="B15" s="24" t="s">
        <v>18</v>
      </c>
      <c r="C15" s="45">
        <v>85</v>
      </c>
      <c r="D15" s="45">
        <v>1404</v>
      </c>
      <c r="E15" s="45">
        <v>7</v>
      </c>
      <c r="F15" s="29">
        <v>39800000</v>
      </c>
      <c r="G15" s="29">
        <v>40000000</v>
      </c>
      <c r="H15" s="29">
        <v>0</v>
      </c>
      <c r="I15" s="56">
        <v>0</v>
      </c>
    </row>
    <row r="16" spans="1:9" x14ac:dyDescent="0.65">
      <c r="A16" s="23">
        <v>4655</v>
      </c>
      <c r="B16" s="24" t="s">
        <v>19</v>
      </c>
      <c r="C16" s="45">
        <v>122</v>
      </c>
      <c r="D16" s="45">
        <v>1404</v>
      </c>
      <c r="E16" s="45">
        <v>7</v>
      </c>
      <c r="F16" s="29">
        <v>19900000</v>
      </c>
      <c r="G16" s="29">
        <v>50000000</v>
      </c>
      <c r="H16" s="29">
        <v>0</v>
      </c>
      <c r="I16" s="56">
        <v>0</v>
      </c>
    </row>
    <row r="17" spans="1:9" x14ac:dyDescent="0.65">
      <c r="A17" s="23">
        <v>4656</v>
      </c>
      <c r="B17" s="24" t="s">
        <v>20</v>
      </c>
      <c r="C17" s="45">
        <v>39</v>
      </c>
      <c r="D17" s="45">
        <v>1404</v>
      </c>
      <c r="E17" s="45">
        <v>7</v>
      </c>
      <c r="F17" s="29">
        <v>49750000</v>
      </c>
      <c r="G17" s="29">
        <v>0</v>
      </c>
      <c r="H17" s="29">
        <v>0</v>
      </c>
      <c r="I17" s="56">
        <v>1500000</v>
      </c>
    </row>
    <row r="18" spans="1:9" x14ac:dyDescent="0.65">
      <c r="A18" s="23">
        <v>4657</v>
      </c>
      <c r="B18" s="24" t="s">
        <v>21</v>
      </c>
      <c r="C18" s="45">
        <v>71</v>
      </c>
      <c r="D18" s="45">
        <v>1404</v>
      </c>
      <c r="E18" s="45">
        <v>7</v>
      </c>
      <c r="F18" s="29">
        <v>39800000</v>
      </c>
      <c r="G18" s="29">
        <v>40000000</v>
      </c>
      <c r="H18" s="29">
        <v>0</v>
      </c>
      <c r="I18" s="56">
        <v>0</v>
      </c>
    </row>
    <row r="19" spans="1:9" x14ac:dyDescent="0.65">
      <c r="A19" s="23">
        <v>4658</v>
      </c>
      <c r="B19" s="24" t="s">
        <v>22</v>
      </c>
      <c r="C19" s="45">
        <v>67</v>
      </c>
      <c r="D19" s="45">
        <v>1404</v>
      </c>
      <c r="E19" s="45">
        <v>7</v>
      </c>
      <c r="F19" s="29">
        <v>29850000</v>
      </c>
      <c r="G19" s="29">
        <v>0</v>
      </c>
      <c r="H19" s="29">
        <v>0</v>
      </c>
      <c r="I19" s="56">
        <v>0</v>
      </c>
    </row>
    <row r="20" spans="1:9" x14ac:dyDescent="0.65">
      <c r="A20" s="23">
        <v>4660</v>
      </c>
      <c r="B20" s="24" t="s">
        <v>23</v>
      </c>
      <c r="C20" s="45">
        <v>72</v>
      </c>
      <c r="D20" s="45">
        <v>1404</v>
      </c>
      <c r="E20" s="45">
        <v>7</v>
      </c>
      <c r="F20" s="29">
        <v>39800000</v>
      </c>
      <c r="G20" s="29">
        <v>40000000</v>
      </c>
      <c r="H20" s="29">
        <v>0</v>
      </c>
      <c r="I20" s="56">
        <v>0</v>
      </c>
    </row>
    <row r="21" spans="1:9" x14ac:dyDescent="0.65">
      <c r="A21" s="23">
        <v>4661</v>
      </c>
      <c r="B21" s="24" t="s">
        <v>24</v>
      </c>
      <c r="C21" s="45">
        <v>63</v>
      </c>
      <c r="D21" s="45">
        <v>1404</v>
      </c>
      <c r="E21" s="45">
        <v>7</v>
      </c>
      <c r="F21" s="29">
        <v>39800000</v>
      </c>
      <c r="G21" s="29">
        <v>0</v>
      </c>
      <c r="H21" s="29">
        <v>0</v>
      </c>
      <c r="I21" s="56">
        <v>0</v>
      </c>
    </row>
    <row r="22" spans="1:9" x14ac:dyDescent="0.65">
      <c r="A22" s="23">
        <v>4663</v>
      </c>
      <c r="B22" s="24" t="s">
        <v>25</v>
      </c>
      <c r="C22" s="45">
        <v>70</v>
      </c>
      <c r="D22" s="45">
        <v>1404</v>
      </c>
      <c r="E22" s="45">
        <v>7</v>
      </c>
      <c r="F22" s="29">
        <v>79600000</v>
      </c>
      <c r="G22" s="29">
        <v>0</v>
      </c>
      <c r="H22" s="29">
        <v>0</v>
      </c>
      <c r="I22" s="56">
        <v>0</v>
      </c>
    </row>
    <row r="23" spans="1:9" x14ac:dyDescent="0.65">
      <c r="A23" s="23">
        <v>4664</v>
      </c>
      <c r="B23" s="24" t="s">
        <v>26</v>
      </c>
      <c r="C23" s="45">
        <v>65</v>
      </c>
      <c r="D23" s="45">
        <v>1404</v>
      </c>
      <c r="E23" s="45">
        <v>7</v>
      </c>
      <c r="F23" s="29">
        <v>39800000</v>
      </c>
      <c r="G23" s="29">
        <v>0</v>
      </c>
      <c r="H23" s="29">
        <v>0</v>
      </c>
      <c r="I23" s="56">
        <v>0</v>
      </c>
    </row>
    <row r="24" spans="1:9" x14ac:dyDescent="0.65">
      <c r="A24" s="23">
        <v>4665</v>
      </c>
      <c r="B24" s="24" t="s">
        <v>27</v>
      </c>
      <c r="C24" s="45">
        <v>64</v>
      </c>
      <c r="D24" s="45">
        <v>1404</v>
      </c>
      <c r="E24" s="45">
        <v>7</v>
      </c>
      <c r="F24" s="29">
        <v>0</v>
      </c>
      <c r="G24" s="29">
        <v>60000000</v>
      </c>
      <c r="H24" s="29">
        <v>0</v>
      </c>
      <c r="I24" s="56">
        <v>3000000</v>
      </c>
    </row>
    <row r="25" spans="1:9" x14ac:dyDescent="0.65">
      <c r="A25" s="23">
        <v>4666</v>
      </c>
      <c r="B25" s="24" t="s">
        <v>28</v>
      </c>
      <c r="C25" s="45">
        <v>69</v>
      </c>
      <c r="D25" s="45">
        <v>1404</v>
      </c>
      <c r="E25" s="45">
        <v>7</v>
      </c>
      <c r="F25" s="29">
        <v>49750000</v>
      </c>
      <c r="G25" s="29">
        <v>80000000</v>
      </c>
      <c r="H25" s="29">
        <v>0</v>
      </c>
      <c r="I25" s="56">
        <v>0</v>
      </c>
    </row>
    <row r="26" spans="1:9" x14ac:dyDescent="0.65">
      <c r="A26" s="23">
        <v>4667</v>
      </c>
      <c r="B26" s="24" t="s">
        <v>29</v>
      </c>
      <c r="C26" s="45">
        <v>94</v>
      </c>
      <c r="D26" s="45">
        <v>1404</v>
      </c>
      <c r="E26" s="45">
        <v>7</v>
      </c>
      <c r="F26" s="29">
        <v>59700000</v>
      </c>
      <c r="G26" s="29">
        <v>0</v>
      </c>
      <c r="H26" s="29">
        <v>0</v>
      </c>
      <c r="I26" s="56">
        <v>0</v>
      </c>
    </row>
    <row r="27" spans="1:9" x14ac:dyDescent="0.65">
      <c r="A27" s="23">
        <v>4668</v>
      </c>
      <c r="B27" s="24" t="s">
        <v>30</v>
      </c>
      <c r="C27" s="45">
        <v>66</v>
      </c>
      <c r="D27" s="45">
        <v>1404</v>
      </c>
      <c r="E27" s="45">
        <v>7</v>
      </c>
      <c r="F27" s="29">
        <v>39800000</v>
      </c>
      <c r="G27" s="29">
        <v>0</v>
      </c>
      <c r="H27" s="29">
        <v>0</v>
      </c>
      <c r="I27" s="56">
        <v>0</v>
      </c>
    </row>
    <row r="28" spans="1:9" x14ac:dyDescent="0.65">
      <c r="A28" s="23">
        <v>4669</v>
      </c>
      <c r="B28" s="24" t="s">
        <v>31</v>
      </c>
      <c r="C28" s="45">
        <v>68</v>
      </c>
      <c r="D28" s="45">
        <v>1404</v>
      </c>
      <c r="E28" s="45">
        <v>7</v>
      </c>
      <c r="F28" s="29">
        <v>69650000</v>
      </c>
      <c r="G28" s="29">
        <v>0</v>
      </c>
      <c r="H28" s="29">
        <v>0</v>
      </c>
      <c r="I28" s="56">
        <v>0</v>
      </c>
    </row>
    <row r="29" spans="1:9" x14ac:dyDescent="0.65">
      <c r="A29" s="23">
        <v>4670</v>
      </c>
      <c r="B29" s="24" t="s">
        <v>32</v>
      </c>
      <c r="C29" s="45">
        <v>90</v>
      </c>
      <c r="D29" s="45">
        <v>1404</v>
      </c>
      <c r="E29" s="45">
        <v>7</v>
      </c>
      <c r="F29" s="29">
        <v>29850000</v>
      </c>
      <c r="G29" s="29">
        <v>40000000</v>
      </c>
      <c r="H29" s="29">
        <v>0</v>
      </c>
      <c r="I29" s="56">
        <v>0</v>
      </c>
    </row>
    <row r="30" spans="1:9" x14ac:dyDescent="0.65">
      <c r="A30" s="23">
        <v>4671</v>
      </c>
      <c r="B30" s="24" t="s">
        <v>33</v>
      </c>
      <c r="C30" s="45">
        <v>73</v>
      </c>
      <c r="D30" s="45">
        <v>1404</v>
      </c>
      <c r="E30" s="45">
        <v>7</v>
      </c>
      <c r="F30" s="29">
        <v>19900000</v>
      </c>
      <c r="G30" s="29">
        <v>0</v>
      </c>
      <c r="H30" s="29">
        <v>0</v>
      </c>
      <c r="I30" s="56">
        <v>3399000</v>
      </c>
    </row>
    <row r="31" spans="1:9" x14ac:dyDescent="0.65">
      <c r="A31" s="23">
        <v>4673</v>
      </c>
      <c r="B31" s="24" t="s">
        <v>34</v>
      </c>
      <c r="C31" s="45">
        <v>45</v>
      </c>
      <c r="D31" s="45">
        <v>1404</v>
      </c>
      <c r="E31" s="45">
        <v>7</v>
      </c>
      <c r="F31" s="29">
        <v>29850000</v>
      </c>
      <c r="G31" s="29">
        <v>0</v>
      </c>
      <c r="H31" s="29">
        <v>0</v>
      </c>
      <c r="I31" s="56">
        <v>3000000</v>
      </c>
    </row>
    <row r="32" spans="1:9" x14ac:dyDescent="0.65">
      <c r="A32" s="23">
        <v>4686</v>
      </c>
      <c r="B32" s="24" t="s">
        <v>35</v>
      </c>
      <c r="C32" s="45">
        <v>27</v>
      </c>
      <c r="D32" s="45">
        <v>1404</v>
      </c>
      <c r="E32" s="45">
        <v>7</v>
      </c>
      <c r="F32" s="29">
        <v>19900000</v>
      </c>
      <c r="G32" s="29">
        <v>0</v>
      </c>
      <c r="H32" s="29">
        <v>0</v>
      </c>
      <c r="I32" s="56">
        <v>0</v>
      </c>
    </row>
    <row r="33" spans="1:9" x14ac:dyDescent="0.65">
      <c r="A33" s="23">
        <v>4687</v>
      </c>
      <c r="B33" s="24" t="s">
        <v>36</v>
      </c>
      <c r="C33" s="45">
        <v>136</v>
      </c>
      <c r="D33" s="45">
        <v>1404</v>
      </c>
      <c r="E33" s="45">
        <v>7</v>
      </c>
      <c r="F33" s="29">
        <v>39800000</v>
      </c>
      <c r="G33" s="29">
        <v>0</v>
      </c>
      <c r="H33" s="29">
        <v>0</v>
      </c>
      <c r="I33" s="56">
        <v>0</v>
      </c>
    </row>
    <row r="34" spans="1:9" x14ac:dyDescent="0.65">
      <c r="A34" s="23">
        <v>4688</v>
      </c>
      <c r="B34" s="24" t="s">
        <v>37</v>
      </c>
      <c r="C34" s="45">
        <v>143</v>
      </c>
      <c r="D34" s="45">
        <v>1404</v>
      </c>
      <c r="E34" s="45">
        <v>7</v>
      </c>
      <c r="F34" s="29">
        <v>19900000</v>
      </c>
      <c r="G34" s="29">
        <v>0</v>
      </c>
      <c r="H34" s="29">
        <v>0</v>
      </c>
      <c r="I34" s="56">
        <v>0</v>
      </c>
    </row>
    <row r="35" spans="1:9" x14ac:dyDescent="0.65">
      <c r="A35" s="23">
        <v>4689</v>
      </c>
      <c r="B35" s="24" t="s">
        <v>38</v>
      </c>
      <c r="C35" s="45">
        <v>96</v>
      </c>
      <c r="D35" s="45">
        <v>1404</v>
      </c>
      <c r="E35" s="45">
        <v>7</v>
      </c>
      <c r="F35" s="29">
        <v>19900000</v>
      </c>
      <c r="G35" s="29">
        <v>0</v>
      </c>
      <c r="H35" s="29">
        <v>0</v>
      </c>
      <c r="I35" s="56">
        <v>0</v>
      </c>
    </row>
    <row r="36" spans="1:9" x14ac:dyDescent="0.65">
      <c r="A36" s="23">
        <v>4693</v>
      </c>
      <c r="B36" s="24" t="s">
        <v>39</v>
      </c>
      <c r="C36" s="45">
        <v>24</v>
      </c>
      <c r="D36" s="45">
        <v>1404</v>
      </c>
      <c r="E36" s="45">
        <v>7</v>
      </c>
      <c r="F36" s="29">
        <v>9950000</v>
      </c>
      <c r="G36" s="29">
        <v>0</v>
      </c>
      <c r="H36" s="29">
        <v>0</v>
      </c>
      <c r="I36" s="56">
        <v>1500000</v>
      </c>
    </row>
    <row r="37" spans="1:9" x14ac:dyDescent="0.65">
      <c r="A37" s="23">
        <v>4701</v>
      </c>
      <c r="B37" s="24" t="s">
        <v>40</v>
      </c>
      <c r="C37" s="45">
        <v>138</v>
      </c>
      <c r="D37" s="45">
        <v>1404</v>
      </c>
      <c r="E37" s="45">
        <v>7</v>
      </c>
      <c r="F37" s="29">
        <v>0</v>
      </c>
      <c r="G37" s="29">
        <v>0</v>
      </c>
      <c r="H37" s="29">
        <v>0</v>
      </c>
      <c r="I37" s="56">
        <v>2000000</v>
      </c>
    </row>
    <row r="38" spans="1:9" x14ac:dyDescent="0.65">
      <c r="A38" s="23">
        <v>4705</v>
      </c>
      <c r="B38" s="24" t="s">
        <v>41</v>
      </c>
      <c r="C38" s="45">
        <v>134</v>
      </c>
      <c r="D38" s="45">
        <v>1404</v>
      </c>
      <c r="E38" s="45">
        <v>7</v>
      </c>
      <c r="F38" s="29">
        <v>9950000</v>
      </c>
      <c r="G38" s="29">
        <v>0</v>
      </c>
      <c r="H38" s="29">
        <v>0</v>
      </c>
      <c r="I38" s="56">
        <v>0</v>
      </c>
    </row>
    <row r="39" spans="1:9" x14ac:dyDescent="0.65">
      <c r="A39" s="23">
        <v>4727</v>
      </c>
      <c r="B39" s="24" t="s">
        <v>42</v>
      </c>
      <c r="C39" s="45">
        <v>58</v>
      </c>
      <c r="D39" s="45">
        <v>1404</v>
      </c>
      <c r="E39" s="45">
        <v>7</v>
      </c>
      <c r="F39" s="29">
        <v>9950000</v>
      </c>
      <c r="G39" s="29">
        <v>0</v>
      </c>
      <c r="H39" s="29">
        <v>0</v>
      </c>
      <c r="I39" s="56">
        <v>3000000</v>
      </c>
    </row>
    <row r="40" spans="1:9" x14ac:dyDescent="0.65">
      <c r="A40" s="23">
        <v>4728</v>
      </c>
      <c r="B40" s="24" t="s">
        <v>43</v>
      </c>
      <c r="C40" s="45">
        <v>144</v>
      </c>
      <c r="D40" s="45">
        <v>1404</v>
      </c>
      <c r="E40" s="45">
        <v>7</v>
      </c>
      <c r="F40" s="29">
        <v>9950000</v>
      </c>
      <c r="G40" s="29">
        <v>0</v>
      </c>
      <c r="H40" s="29">
        <v>0</v>
      </c>
      <c r="I40" s="56">
        <v>0</v>
      </c>
    </row>
    <row r="41" spans="1:9" x14ac:dyDescent="0.65">
      <c r="A41" s="23">
        <v>4731</v>
      </c>
      <c r="B41" s="24" t="s">
        <v>44</v>
      </c>
      <c r="C41" s="45">
        <v>22</v>
      </c>
      <c r="D41" s="45">
        <v>1404</v>
      </c>
      <c r="E41" s="45">
        <v>7</v>
      </c>
      <c r="F41" s="29">
        <v>0</v>
      </c>
      <c r="G41" s="29">
        <v>0</v>
      </c>
      <c r="H41" s="29">
        <v>0</v>
      </c>
      <c r="I41" s="56">
        <v>0</v>
      </c>
    </row>
    <row r="42" spans="1:9" x14ac:dyDescent="0.65">
      <c r="A42" s="23">
        <v>4735</v>
      </c>
      <c r="B42" s="24" t="s">
        <v>45</v>
      </c>
      <c r="C42" s="45">
        <v>141</v>
      </c>
      <c r="D42" s="45">
        <v>1404</v>
      </c>
      <c r="E42" s="45">
        <v>7</v>
      </c>
      <c r="F42" s="29">
        <v>49750000</v>
      </c>
      <c r="G42" s="29">
        <v>0</v>
      </c>
      <c r="H42" s="29">
        <v>0</v>
      </c>
      <c r="I42" s="56">
        <v>0</v>
      </c>
    </row>
    <row r="43" spans="1:9" x14ac:dyDescent="0.65">
      <c r="A43" s="23">
        <v>5616</v>
      </c>
      <c r="B43" s="24" t="s">
        <v>46</v>
      </c>
      <c r="C43" s="45">
        <v>40</v>
      </c>
      <c r="D43" s="45">
        <v>1404</v>
      </c>
      <c r="E43" s="45">
        <v>7</v>
      </c>
      <c r="F43" s="29">
        <v>49750000</v>
      </c>
      <c r="G43" s="29">
        <v>0</v>
      </c>
      <c r="H43" s="29">
        <v>0</v>
      </c>
      <c r="I43" s="56">
        <v>1500000</v>
      </c>
    </row>
    <row r="44" spans="1:9" x14ac:dyDescent="0.65">
      <c r="A44" s="23">
        <v>5624</v>
      </c>
      <c r="B44" s="24" t="s">
        <v>49</v>
      </c>
      <c r="C44" s="45">
        <v>109</v>
      </c>
      <c r="D44" s="45">
        <v>1404</v>
      </c>
      <c r="E44" s="45">
        <v>7</v>
      </c>
      <c r="F44" s="29">
        <v>19900000</v>
      </c>
      <c r="G44" s="29">
        <v>40000000</v>
      </c>
      <c r="H44" s="29">
        <v>0</v>
      </c>
      <c r="I44" s="56">
        <v>0</v>
      </c>
    </row>
    <row r="45" spans="1:9" x14ac:dyDescent="0.65">
      <c r="A45" s="23">
        <v>5626</v>
      </c>
      <c r="B45" s="24" t="s">
        <v>50</v>
      </c>
      <c r="C45" s="45">
        <v>37</v>
      </c>
      <c r="D45" s="45">
        <v>1404</v>
      </c>
      <c r="E45" s="45">
        <v>7</v>
      </c>
      <c r="F45" s="29">
        <v>19900000</v>
      </c>
      <c r="G45" s="29">
        <v>0</v>
      </c>
      <c r="H45" s="29">
        <v>0</v>
      </c>
      <c r="I45" s="56">
        <v>0</v>
      </c>
    </row>
    <row r="46" spans="1:9" x14ac:dyDescent="0.65">
      <c r="A46" s="23">
        <v>5627</v>
      </c>
      <c r="B46" s="24" t="s">
        <v>51</v>
      </c>
      <c r="C46" s="45">
        <v>101</v>
      </c>
      <c r="D46" s="45">
        <v>1404</v>
      </c>
      <c r="E46" s="45">
        <v>7</v>
      </c>
      <c r="F46" s="29">
        <v>29850000</v>
      </c>
      <c r="G46" s="29">
        <v>0</v>
      </c>
      <c r="H46" s="29">
        <v>0</v>
      </c>
      <c r="I46" s="56">
        <v>6243900</v>
      </c>
    </row>
    <row r="47" spans="1:9" x14ac:dyDescent="0.65">
      <c r="A47" s="23">
        <v>5628</v>
      </c>
      <c r="B47" s="24" t="s">
        <v>52</v>
      </c>
      <c r="C47" s="45">
        <v>123</v>
      </c>
      <c r="D47" s="45">
        <v>1404</v>
      </c>
      <c r="E47" s="45">
        <v>7</v>
      </c>
      <c r="F47" s="29">
        <v>19900000</v>
      </c>
      <c r="G47" s="29">
        <v>0</v>
      </c>
      <c r="H47" s="29">
        <v>0</v>
      </c>
      <c r="I47" s="56">
        <v>12600000</v>
      </c>
    </row>
    <row r="48" spans="1:9" x14ac:dyDescent="0.65">
      <c r="A48" s="23">
        <v>5629</v>
      </c>
      <c r="B48" s="24" t="s">
        <v>53</v>
      </c>
      <c r="C48" s="45">
        <v>46</v>
      </c>
      <c r="D48" s="45">
        <v>1404</v>
      </c>
      <c r="E48" s="45">
        <v>7</v>
      </c>
      <c r="F48" s="29">
        <v>19900000</v>
      </c>
      <c r="G48" s="29">
        <v>50000000</v>
      </c>
      <c r="H48" s="29">
        <v>0</v>
      </c>
      <c r="I48" s="56">
        <v>0</v>
      </c>
    </row>
    <row r="49" spans="1:9" x14ac:dyDescent="0.65">
      <c r="A49" s="23">
        <v>5638</v>
      </c>
      <c r="B49" s="24" t="s">
        <v>59</v>
      </c>
      <c r="C49" s="45">
        <v>87</v>
      </c>
      <c r="D49" s="45">
        <v>1404</v>
      </c>
      <c r="E49" s="45">
        <v>7</v>
      </c>
      <c r="F49" s="29">
        <v>19900000</v>
      </c>
      <c r="G49" s="29">
        <v>40000000</v>
      </c>
      <c r="H49" s="29">
        <v>0</v>
      </c>
      <c r="I49" s="56">
        <v>6000000</v>
      </c>
    </row>
    <row r="50" spans="1:9" x14ac:dyDescent="0.65">
      <c r="A50" s="23">
        <v>5642</v>
      </c>
      <c r="B50" s="24" t="s">
        <v>60</v>
      </c>
      <c r="C50" s="45">
        <v>137</v>
      </c>
      <c r="D50" s="45">
        <v>1404</v>
      </c>
      <c r="E50" s="45">
        <v>7</v>
      </c>
      <c r="F50" s="29">
        <v>0</v>
      </c>
      <c r="G50" s="29">
        <v>40000000</v>
      </c>
      <c r="H50" s="29">
        <v>0</v>
      </c>
      <c r="I50" s="56">
        <v>0</v>
      </c>
    </row>
    <row r="51" spans="1:9" x14ac:dyDescent="0.65">
      <c r="A51" s="23">
        <v>5653</v>
      </c>
      <c r="B51" s="24" t="s">
        <v>210</v>
      </c>
      <c r="C51" s="45">
        <v>464</v>
      </c>
      <c r="D51" s="45">
        <v>1404</v>
      </c>
      <c r="E51" s="45">
        <v>7</v>
      </c>
      <c r="F51" s="29">
        <v>0</v>
      </c>
      <c r="G51" s="29">
        <v>0</v>
      </c>
      <c r="H51" s="29">
        <v>0</v>
      </c>
      <c r="I51" s="56">
        <v>6000000</v>
      </c>
    </row>
    <row r="52" spans="1:9" x14ac:dyDescent="0.65">
      <c r="A52" s="23">
        <v>5655</v>
      </c>
      <c r="B52" s="24" t="s">
        <v>63</v>
      </c>
      <c r="C52" s="45">
        <v>130</v>
      </c>
      <c r="D52" s="45">
        <v>1404</v>
      </c>
      <c r="E52" s="45">
        <v>7</v>
      </c>
      <c r="F52" s="29">
        <v>29850000</v>
      </c>
      <c r="G52" s="29">
        <v>0</v>
      </c>
      <c r="H52" s="29">
        <v>0</v>
      </c>
      <c r="I52" s="56">
        <v>0</v>
      </c>
    </row>
    <row r="53" spans="1:9" x14ac:dyDescent="0.65">
      <c r="A53" s="23">
        <v>5671</v>
      </c>
      <c r="B53" s="24" t="s">
        <v>65</v>
      </c>
      <c r="C53" s="45">
        <v>128</v>
      </c>
      <c r="D53" s="45">
        <v>1404</v>
      </c>
      <c r="E53" s="45">
        <v>7</v>
      </c>
      <c r="F53" s="29">
        <v>0</v>
      </c>
      <c r="G53" s="29">
        <v>0</v>
      </c>
      <c r="H53" s="29">
        <v>0</v>
      </c>
      <c r="I53" s="56">
        <v>3200000</v>
      </c>
    </row>
    <row r="54" spans="1:9" x14ac:dyDescent="0.65">
      <c r="A54" s="23">
        <v>5684</v>
      </c>
      <c r="B54" s="24" t="s">
        <v>27</v>
      </c>
      <c r="C54" s="45">
        <v>132</v>
      </c>
      <c r="D54" s="45">
        <v>1404</v>
      </c>
      <c r="E54" s="45">
        <v>7</v>
      </c>
      <c r="F54" s="29">
        <v>0</v>
      </c>
      <c r="G54" s="29">
        <v>0</v>
      </c>
      <c r="H54" s="29">
        <v>0</v>
      </c>
      <c r="I54" s="56">
        <v>0</v>
      </c>
    </row>
    <row r="55" spans="1:9" x14ac:dyDescent="0.65">
      <c r="A55" s="23">
        <v>5685</v>
      </c>
      <c r="B55" s="24" t="s">
        <v>67</v>
      </c>
      <c r="C55" s="45">
        <v>142</v>
      </c>
      <c r="D55" s="45">
        <v>1404</v>
      </c>
      <c r="E55" s="45">
        <v>7</v>
      </c>
      <c r="F55" s="29">
        <v>29850000</v>
      </c>
      <c r="G55" s="29">
        <v>0</v>
      </c>
      <c r="H55" s="29">
        <v>0</v>
      </c>
      <c r="I55" s="56">
        <v>0</v>
      </c>
    </row>
    <row r="56" spans="1:9" x14ac:dyDescent="0.65">
      <c r="A56" s="23">
        <v>5699</v>
      </c>
      <c r="B56" s="24" t="s">
        <v>68</v>
      </c>
      <c r="C56" s="45">
        <v>159</v>
      </c>
      <c r="D56" s="45">
        <v>1404</v>
      </c>
      <c r="E56" s="45">
        <v>7</v>
      </c>
      <c r="F56" s="29">
        <v>49750000</v>
      </c>
      <c r="G56" s="29">
        <v>0</v>
      </c>
      <c r="H56" s="29">
        <v>0</v>
      </c>
      <c r="I56" s="56">
        <v>0</v>
      </c>
    </row>
    <row r="57" spans="1:9" x14ac:dyDescent="0.65">
      <c r="A57" s="23">
        <v>5708</v>
      </c>
      <c r="B57" s="24" t="s">
        <v>72</v>
      </c>
      <c r="C57" s="45">
        <v>50</v>
      </c>
      <c r="D57" s="45">
        <v>1404</v>
      </c>
      <c r="E57" s="45">
        <v>7</v>
      </c>
      <c r="F57" s="29">
        <v>29850000</v>
      </c>
      <c r="G57" s="29">
        <v>0</v>
      </c>
      <c r="H57" s="29">
        <v>0</v>
      </c>
      <c r="I57" s="56">
        <v>0</v>
      </c>
    </row>
    <row r="58" spans="1:9" x14ac:dyDescent="0.65">
      <c r="A58" s="23">
        <v>5710</v>
      </c>
      <c r="B58" s="24" t="s">
        <v>73</v>
      </c>
      <c r="C58" s="45">
        <v>74</v>
      </c>
      <c r="D58" s="45">
        <v>1404</v>
      </c>
      <c r="E58" s="45">
        <v>7</v>
      </c>
      <c r="F58" s="29">
        <v>29850000</v>
      </c>
      <c r="G58" s="29">
        <v>0</v>
      </c>
      <c r="H58" s="29">
        <v>0</v>
      </c>
      <c r="I58" s="56">
        <v>0</v>
      </c>
    </row>
    <row r="59" spans="1:9" x14ac:dyDescent="0.65">
      <c r="A59" s="23">
        <v>5727</v>
      </c>
      <c r="B59" s="24" t="s">
        <v>76</v>
      </c>
      <c r="C59" s="45">
        <v>47</v>
      </c>
      <c r="D59" s="45">
        <v>1404</v>
      </c>
      <c r="E59" s="45">
        <v>7</v>
      </c>
      <c r="F59" s="29">
        <v>59700000</v>
      </c>
      <c r="G59" s="29">
        <v>50000000</v>
      </c>
      <c r="H59" s="29">
        <v>0</v>
      </c>
      <c r="I59" s="56">
        <v>0</v>
      </c>
    </row>
    <row r="60" spans="1:9" x14ac:dyDescent="0.65">
      <c r="A60" s="23">
        <v>5734</v>
      </c>
      <c r="B60" s="24" t="s">
        <v>77</v>
      </c>
      <c r="C60" s="45">
        <v>98</v>
      </c>
      <c r="D60" s="45">
        <v>1404</v>
      </c>
      <c r="E60" s="45">
        <v>7</v>
      </c>
      <c r="F60" s="29">
        <v>19900000</v>
      </c>
      <c r="G60" s="29">
        <v>0</v>
      </c>
      <c r="H60" s="29">
        <v>0</v>
      </c>
      <c r="I60" s="56">
        <v>0</v>
      </c>
    </row>
    <row r="61" spans="1:9" x14ac:dyDescent="0.65">
      <c r="A61" s="23">
        <v>5744</v>
      </c>
      <c r="B61" s="24" t="s">
        <v>78</v>
      </c>
      <c r="C61" s="45">
        <v>3</v>
      </c>
      <c r="D61" s="45">
        <v>1404</v>
      </c>
      <c r="E61" s="45">
        <v>7</v>
      </c>
      <c r="F61" s="29">
        <v>39800000</v>
      </c>
      <c r="G61" s="29">
        <v>140000000</v>
      </c>
      <c r="H61" s="29">
        <v>0</v>
      </c>
      <c r="I61" s="56">
        <v>0</v>
      </c>
    </row>
    <row r="62" spans="1:9" x14ac:dyDescent="0.65">
      <c r="A62" s="23">
        <v>5749</v>
      </c>
      <c r="B62" s="24" t="s">
        <v>79</v>
      </c>
      <c r="C62" s="45">
        <v>126</v>
      </c>
      <c r="D62" s="45">
        <v>1404</v>
      </c>
      <c r="E62" s="45">
        <v>7</v>
      </c>
      <c r="F62" s="29">
        <v>0</v>
      </c>
      <c r="G62" s="29">
        <v>0</v>
      </c>
      <c r="H62" s="29">
        <v>0</v>
      </c>
      <c r="I62" s="56">
        <v>0</v>
      </c>
    </row>
    <row r="63" spans="1:9" x14ac:dyDescent="0.65">
      <c r="A63" s="23">
        <v>5765</v>
      </c>
      <c r="B63" s="24" t="s">
        <v>80</v>
      </c>
      <c r="C63" s="45">
        <v>51</v>
      </c>
      <c r="D63" s="45">
        <v>1404</v>
      </c>
      <c r="E63" s="45">
        <v>7</v>
      </c>
      <c r="F63" s="29">
        <v>29850000</v>
      </c>
      <c r="G63" s="29">
        <v>0</v>
      </c>
      <c r="H63" s="29">
        <v>0</v>
      </c>
      <c r="I63" s="56">
        <v>0</v>
      </c>
    </row>
    <row r="64" spans="1:9" x14ac:dyDescent="0.65">
      <c r="A64" s="23">
        <v>5766</v>
      </c>
      <c r="B64" s="24" t="s">
        <v>81</v>
      </c>
      <c r="C64" s="45">
        <v>135</v>
      </c>
      <c r="D64" s="45">
        <v>1404</v>
      </c>
      <c r="E64" s="45">
        <v>7</v>
      </c>
      <c r="F64" s="29">
        <v>29850000</v>
      </c>
      <c r="G64" s="29">
        <v>0</v>
      </c>
      <c r="H64" s="29">
        <v>0</v>
      </c>
      <c r="I64" s="56">
        <v>0</v>
      </c>
    </row>
    <row r="65" spans="1:9" x14ac:dyDescent="0.65">
      <c r="A65" s="23">
        <v>5771</v>
      </c>
      <c r="B65" s="24" t="s">
        <v>82</v>
      </c>
      <c r="C65" s="45">
        <v>77</v>
      </c>
      <c r="D65" s="45">
        <v>1404</v>
      </c>
      <c r="E65" s="45">
        <v>7</v>
      </c>
      <c r="F65" s="29">
        <v>19900000</v>
      </c>
      <c r="G65" s="29">
        <v>40000000</v>
      </c>
      <c r="H65" s="29">
        <v>0</v>
      </c>
      <c r="I65" s="56">
        <v>0</v>
      </c>
    </row>
    <row r="66" spans="1:9" x14ac:dyDescent="0.65">
      <c r="A66" s="23">
        <v>5783</v>
      </c>
      <c r="B66" s="24" t="s">
        <v>84</v>
      </c>
      <c r="C66" s="45">
        <v>79</v>
      </c>
      <c r="D66" s="45">
        <v>1404</v>
      </c>
      <c r="E66" s="45">
        <v>7</v>
      </c>
      <c r="F66" s="29">
        <v>39800000</v>
      </c>
      <c r="G66" s="29">
        <v>20000000</v>
      </c>
      <c r="H66" s="29">
        <v>0</v>
      </c>
      <c r="I66" s="56">
        <v>0</v>
      </c>
    </row>
    <row r="67" spans="1:9" x14ac:dyDescent="0.65">
      <c r="A67" s="23">
        <v>5784</v>
      </c>
      <c r="B67" s="24" t="s">
        <v>85</v>
      </c>
      <c r="C67" s="45">
        <v>148</v>
      </c>
      <c r="D67" s="45">
        <v>1404</v>
      </c>
      <c r="E67" s="45">
        <v>7</v>
      </c>
      <c r="F67" s="29">
        <v>9950000</v>
      </c>
      <c r="G67" s="29">
        <v>40000000</v>
      </c>
      <c r="H67" s="29">
        <v>0</v>
      </c>
      <c r="I67" s="56">
        <v>0</v>
      </c>
    </row>
    <row r="68" spans="1:9" x14ac:dyDescent="0.65">
      <c r="A68" s="23">
        <v>5791</v>
      </c>
      <c r="B68" s="24" t="s">
        <v>86</v>
      </c>
      <c r="C68" s="45">
        <v>150</v>
      </c>
      <c r="D68" s="45">
        <v>1404</v>
      </c>
      <c r="E68" s="45">
        <v>7</v>
      </c>
      <c r="F68" s="29">
        <v>9950000</v>
      </c>
      <c r="G68" s="29">
        <v>0</v>
      </c>
      <c r="H68" s="29">
        <v>0</v>
      </c>
      <c r="I68" s="56">
        <v>3000000</v>
      </c>
    </row>
    <row r="69" spans="1:9" x14ac:dyDescent="0.65">
      <c r="A69" s="23">
        <v>5793</v>
      </c>
      <c r="B69" s="24" t="s">
        <v>87</v>
      </c>
      <c r="C69" s="45">
        <v>43</v>
      </c>
      <c r="D69" s="45">
        <v>1404</v>
      </c>
      <c r="E69" s="45">
        <v>7</v>
      </c>
      <c r="F69" s="29">
        <v>0</v>
      </c>
      <c r="G69" s="29">
        <v>40000000</v>
      </c>
      <c r="H69" s="29">
        <v>0</v>
      </c>
      <c r="I69" s="56">
        <v>0</v>
      </c>
    </row>
    <row r="70" spans="1:9" x14ac:dyDescent="0.65">
      <c r="A70" s="23">
        <v>5794</v>
      </c>
      <c r="B70" s="24" t="s">
        <v>88</v>
      </c>
      <c r="C70" s="45">
        <v>118</v>
      </c>
      <c r="D70" s="45">
        <v>1404</v>
      </c>
      <c r="E70" s="45">
        <v>7</v>
      </c>
      <c r="F70" s="29">
        <v>0</v>
      </c>
      <c r="G70" s="29">
        <v>0</v>
      </c>
      <c r="H70" s="29">
        <v>0</v>
      </c>
      <c r="I70" s="56">
        <v>0</v>
      </c>
    </row>
    <row r="71" spans="1:9" x14ac:dyDescent="0.65">
      <c r="A71" s="23">
        <v>5795</v>
      </c>
      <c r="B71" s="24" t="s">
        <v>89</v>
      </c>
      <c r="C71" s="45">
        <v>116</v>
      </c>
      <c r="D71" s="45">
        <v>1404</v>
      </c>
      <c r="E71" s="45">
        <v>7</v>
      </c>
      <c r="F71" s="29">
        <v>0</v>
      </c>
      <c r="G71" s="29">
        <v>0</v>
      </c>
      <c r="H71" s="29">
        <v>0</v>
      </c>
      <c r="I71" s="56">
        <v>0</v>
      </c>
    </row>
    <row r="72" spans="1:9" x14ac:dyDescent="0.65">
      <c r="A72" s="23">
        <v>5799</v>
      </c>
      <c r="B72" s="24" t="s">
        <v>90</v>
      </c>
      <c r="C72" s="45">
        <v>224</v>
      </c>
      <c r="D72" s="45">
        <v>1404</v>
      </c>
      <c r="E72" s="45">
        <v>7</v>
      </c>
      <c r="F72" s="29">
        <v>0</v>
      </c>
      <c r="G72" s="29">
        <v>0</v>
      </c>
      <c r="H72" s="29">
        <v>0</v>
      </c>
      <c r="I72" s="56">
        <v>3400000</v>
      </c>
    </row>
    <row r="73" spans="1:9" x14ac:dyDescent="0.65">
      <c r="A73" s="23">
        <v>5816</v>
      </c>
      <c r="B73" s="24" t="s">
        <v>92</v>
      </c>
      <c r="C73" s="45">
        <v>86</v>
      </c>
      <c r="D73" s="45">
        <v>1404</v>
      </c>
      <c r="E73" s="45">
        <v>7</v>
      </c>
      <c r="F73" s="29">
        <v>9950000</v>
      </c>
      <c r="G73" s="29">
        <v>0</v>
      </c>
      <c r="H73" s="29">
        <v>0</v>
      </c>
      <c r="I73" s="56">
        <v>0</v>
      </c>
    </row>
    <row r="74" spans="1:9" x14ac:dyDescent="0.65">
      <c r="A74" s="23">
        <v>5824</v>
      </c>
      <c r="B74" s="24" t="s">
        <v>94</v>
      </c>
      <c r="C74" s="45">
        <v>41</v>
      </c>
      <c r="D74" s="45">
        <v>1404</v>
      </c>
      <c r="E74" s="45">
        <v>7</v>
      </c>
      <c r="F74" s="29">
        <v>0</v>
      </c>
      <c r="G74" s="29">
        <v>0</v>
      </c>
      <c r="H74" s="29">
        <v>0</v>
      </c>
      <c r="I74" s="56">
        <v>0</v>
      </c>
    </row>
    <row r="75" spans="1:9" x14ac:dyDescent="0.65">
      <c r="A75" s="23">
        <v>5827</v>
      </c>
      <c r="B75" s="24" t="s">
        <v>95</v>
      </c>
      <c r="C75" s="45">
        <v>53</v>
      </c>
      <c r="D75" s="45">
        <v>1404</v>
      </c>
      <c r="E75" s="45">
        <v>7</v>
      </c>
      <c r="F75" s="29">
        <v>0</v>
      </c>
      <c r="G75" s="29">
        <v>0</v>
      </c>
      <c r="H75" s="29">
        <v>0</v>
      </c>
      <c r="I75" s="59">
        <v>0</v>
      </c>
    </row>
    <row r="76" spans="1:9" x14ac:dyDescent="0.65">
      <c r="A76" s="23">
        <v>5829</v>
      </c>
      <c r="B76" s="24" t="s">
        <v>96</v>
      </c>
      <c r="C76" s="45">
        <v>56</v>
      </c>
      <c r="D76" s="45">
        <v>1404</v>
      </c>
      <c r="E76" s="45">
        <v>7</v>
      </c>
      <c r="F76" s="29">
        <v>0</v>
      </c>
      <c r="G76" s="29">
        <v>0</v>
      </c>
      <c r="H76" s="29">
        <v>0</v>
      </c>
      <c r="I76" s="56">
        <v>0</v>
      </c>
    </row>
    <row r="77" spans="1:9" x14ac:dyDescent="0.65">
      <c r="A77" s="23">
        <v>5832</v>
      </c>
      <c r="B77" s="24" t="s">
        <v>97</v>
      </c>
      <c r="C77" s="45">
        <v>239</v>
      </c>
      <c r="D77" s="45">
        <v>1404</v>
      </c>
      <c r="E77" s="45">
        <v>7</v>
      </c>
      <c r="F77" s="29">
        <v>0</v>
      </c>
      <c r="G77" s="29">
        <v>0</v>
      </c>
      <c r="H77" s="29">
        <v>0</v>
      </c>
      <c r="I77" s="56">
        <v>0</v>
      </c>
    </row>
    <row r="78" spans="1:9" x14ac:dyDescent="0.65">
      <c r="A78" s="23">
        <v>5833</v>
      </c>
      <c r="B78" s="24" t="s">
        <v>98</v>
      </c>
      <c r="C78" s="45">
        <v>125</v>
      </c>
      <c r="D78" s="45">
        <v>1404</v>
      </c>
      <c r="E78" s="45">
        <v>7</v>
      </c>
      <c r="F78" s="29">
        <v>0</v>
      </c>
      <c r="G78" s="29">
        <v>0</v>
      </c>
      <c r="H78" s="29">
        <v>0</v>
      </c>
      <c r="I78" s="56">
        <v>1500000</v>
      </c>
    </row>
    <row r="79" spans="1:9" x14ac:dyDescent="0.65">
      <c r="A79" s="23">
        <v>5837</v>
      </c>
      <c r="B79" s="24" t="s">
        <v>100</v>
      </c>
      <c r="C79" s="45">
        <v>75</v>
      </c>
      <c r="D79" s="45">
        <v>1404</v>
      </c>
      <c r="E79" s="45">
        <v>7</v>
      </c>
      <c r="F79" s="29">
        <v>9950000</v>
      </c>
      <c r="G79" s="29">
        <v>0</v>
      </c>
      <c r="H79" s="29">
        <v>0</v>
      </c>
      <c r="I79" s="56">
        <v>0</v>
      </c>
    </row>
    <row r="80" spans="1:9" x14ac:dyDescent="0.65">
      <c r="A80" s="23">
        <v>5842</v>
      </c>
      <c r="B80" s="24" t="s">
        <v>101</v>
      </c>
      <c r="C80" s="45">
        <v>147</v>
      </c>
      <c r="D80" s="45">
        <v>1404</v>
      </c>
      <c r="E80" s="45">
        <v>7</v>
      </c>
      <c r="F80" s="29">
        <v>0</v>
      </c>
      <c r="G80" s="29">
        <v>0</v>
      </c>
      <c r="H80" s="29">
        <v>0</v>
      </c>
      <c r="I80" s="56">
        <v>0</v>
      </c>
    </row>
    <row r="81" spans="1:9" x14ac:dyDescent="0.65">
      <c r="A81" s="23">
        <v>5843</v>
      </c>
      <c r="B81" s="24" t="s">
        <v>102</v>
      </c>
      <c r="C81" s="45">
        <v>76</v>
      </c>
      <c r="D81" s="45">
        <v>1404</v>
      </c>
      <c r="E81" s="45">
        <v>7</v>
      </c>
      <c r="F81" s="29">
        <v>19900000</v>
      </c>
      <c r="G81" s="29">
        <v>40000000</v>
      </c>
      <c r="H81" s="29">
        <v>0</v>
      </c>
      <c r="I81" s="56">
        <v>0</v>
      </c>
    </row>
    <row r="82" spans="1:9" x14ac:dyDescent="0.65">
      <c r="A82" s="23">
        <v>5847</v>
      </c>
      <c r="B82" s="24" t="s">
        <v>103</v>
      </c>
      <c r="C82" s="45">
        <v>93</v>
      </c>
      <c r="D82" s="45">
        <v>1404</v>
      </c>
      <c r="E82" s="45">
        <v>7</v>
      </c>
      <c r="F82" s="29">
        <v>49750000</v>
      </c>
      <c r="G82" s="29">
        <v>40000000</v>
      </c>
      <c r="H82" s="29">
        <v>0</v>
      </c>
      <c r="I82" s="56">
        <v>2851000</v>
      </c>
    </row>
    <row r="83" spans="1:9" x14ac:dyDescent="0.65">
      <c r="A83" s="23">
        <v>5851</v>
      </c>
      <c r="B83" s="24" t="s">
        <v>105</v>
      </c>
      <c r="C83" s="45">
        <v>117</v>
      </c>
      <c r="D83" s="45">
        <v>1404</v>
      </c>
      <c r="E83" s="45">
        <v>7</v>
      </c>
      <c r="F83" s="29">
        <v>0</v>
      </c>
      <c r="G83" s="29">
        <v>0</v>
      </c>
      <c r="H83" s="29">
        <v>0</v>
      </c>
      <c r="I83" s="56">
        <v>3000000</v>
      </c>
    </row>
    <row r="84" spans="1:9" x14ac:dyDescent="0.65">
      <c r="A84" s="23">
        <v>5853</v>
      </c>
      <c r="B84" s="24" t="s">
        <v>211</v>
      </c>
      <c r="C84" s="45">
        <v>162</v>
      </c>
      <c r="D84" s="45">
        <v>1404</v>
      </c>
      <c r="E84" s="45">
        <v>7</v>
      </c>
      <c r="F84" s="29">
        <v>0</v>
      </c>
      <c r="G84" s="29">
        <v>0</v>
      </c>
      <c r="H84" s="29">
        <v>0</v>
      </c>
      <c r="I84" s="56">
        <v>0</v>
      </c>
    </row>
    <row r="85" spans="1:9" x14ac:dyDescent="0.65">
      <c r="A85" s="23">
        <v>5857</v>
      </c>
      <c r="B85" s="24" t="s">
        <v>106</v>
      </c>
      <c r="C85" s="45">
        <v>48</v>
      </c>
      <c r="D85" s="45">
        <v>1404</v>
      </c>
      <c r="E85" s="45">
        <v>7</v>
      </c>
      <c r="F85" s="29">
        <v>9950000</v>
      </c>
      <c r="G85" s="29">
        <v>40000000</v>
      </c>
      <c r="H85" s="29">
        <v>0</v>
      </c>
      <c r="I85" s="56">
        <v>7102000</v>
      </c>
    </row>
    <row r="86" spans="1:9" x14ac:dyDescent="0.65">
      <c r="A86" s="23">
        <v>5863</v>
      </c>
      <c r="B86" s="24" t="s">
        <v>107</v>
      </c>
      <c r="C86" s="45">
        <v>2</v>
      </c>
      <c r="D86" s="45">
        <v>1404</v>
      </c>
      <c r="E86" s="45">
        <v>7</v>
      </c>
      <c r="F86" s="29">
        <v>39800000</v>
      </c>
      <c r="G86" s="29">
        <v>147142857</v>
      </c>
      <c r="H86" s="29">
        <v>0</v>
      </c>
      <c r="I86" s="56">
        <v>0</v>
      </c>
    </row>
    <row r="87" spans="1:9" x14ac:dyDescent="0.65">
      <c r="A87" s="23">
        <v>5867</v>
      </c>
      <c r="B87" s="24" t="s">
        <v>108</v>
      </c>
      <c r="C87" s="45">
        <v>78</v>
      </c>
      <c r="D87" s="45">
        <v>1404</v>
      </c>
      <c r="E87" s="45">
        <v>7</v>
      </c>
      <c r="F87" s="29">
        <v>9950000</v>
      </c>
      <c r="G87" s="29">
        <v>0</v>
      </c>
      <c r="H87" s="29">
        <v>0</v>
      </c>
      <c r="I87" s="56">
        <v>5144040</v>
      </c>
    </row>
    <row r="88" spans="1:9" x14ac:dyDescent="0.65">
      <c r="A88" s="23">
        <v>5870</v>
      </c>
      <c r="B88" s="24" t="s">
        <v>109</v>
      </c>
      <c r="C88" s="45">
        <v>199</v>
      </c>
      <c r="D88" s="45">
        <v>1404</v>
      </c>
      <c r="E88" s="45">
        <v>7</v>
      </c>
      <c r="F88" s="29">
        <v>9950000</v>
      </c>
      <c r="G88" s="29">
        <v>100000000</v>
      </c>
      <c r="H88" s="29">
        <v>0</v>
      </c>
      <c r="I88" s="56">
        <v>4494000</v>
      </c>
    </row>
    <row r="89" spans="1:9" x14ac:dyDescent="0.65">
      <c r="A89" s="23">
        <v>5876</v>
      </c>
      <c r="B89" s="24" t="s">
        <v>110</v>
      </c>
      <c r="C89" s="45">
        <v>127</v>
      </c>
      <c r="D89" s="45">
        <v>1404</v>
      </c>
      <c r="E89" s="45">
        <v>7</v>
      </c>
      <c r="F89" s="29">
        <v>0</v>
      </c>
      <c r="G89" s="29">
        <v>0</v>
      </c>
      <c r="H89" s="29">
        <v>0</v>
      </c>
      <c r="I89" s="56">
        <v>6000000</v>
      </c>
    </row>
    <row r="90" spans="1:9" x14ac:dyDescent="0.65">
      <c r="A90" s="23">
        <v>5883</v>
      </c>
      <c r="B90" s="24" t="s">
        <v>111</v>
      </c>
      <c r="C90" s="45">
        <v>6</v>
      </c>
      <c r="D90" s="45">
        <v>1404</v>
      </c>
      <c r="E90" s="45">
        <v>7</v>
      </c>
      <c r="F90" s="29">
        <v>59700000</v>
      </c>
      <c r="G90" s="29">
        <v>0</v>
      </c>
      <c r="H90" s="29">
        <v>21887016</v>
      </c>
      <c r="I90" s="56">
        <v>0</v>
      </c>
    </row>
    <row r="91" spans="1:9" x14ac:dyDescent="0.65">
      <c r="A91" s="23">
        <v>5885</v>
      </c>
      <c r="B91" s="24" t="s">
        <v>112</v>
      </c>
      <c r="C91" s="45">
        <v>161</v>
      </c>
      <c r="D91" s="45">
        <v>1404</v>
      </c>
      <c r="E91" s="45">
        <v>7</v>
      </c>
      <c r="F91" s="29">
        <v>19900000</v>
      </c>
      <c r="G91" s="29">
        <v>0</v>
      </c>
      <c r="H91" s="29">
        <v>0</v>
      </c>
      <c r="I91" s="56">
        <v>858000</v>
      </c>
    </row>
    <row r="92" spans="1:9" x14ac:dyDescent="0.65">
      <c r="A92" s="23">
        <v>5886</v>
      </c>
      <c r="B92" s="24" t="s">
        <v>113</v>
      </c>
      <c r="C92" s="45">
        <v>166</v>
      </c>
      <c r="D92" s="45">
        <v>1404</v>
      </c>
      <c r="E92" s="45">
        <v>7</v>
      </c>
      <c r="F92" s="29">
        <v>9950000</v>
      </c>
      <c r="G92" s="29">
        <v>0</v>
      </c>
      <c r="H92" s="29">
        <v>0</v>
      </c>
      <c r="I92" s="56">
        <v>1500000</v>
      </c>
    </row>
    <row r="93" spans="1:9" x14ac:dyDescent="0.65">
      <c r="A93" s="23">
        <v>5887</v>
      </c>
      <c r="B93" s="24" t="s">
        <v>114</v>
      </c>
      <c r="C93" s="45">
        <v>167</v>
      </c>
      <c r="D93" s="45">
        <v>1404</v>
      </c>
      <c r="E93" s="45">
        <v>7</v>
      </c>
      <c r="F93" s="29">
        <v>9950000</v>
      </c>
      <c r="G93" s="29">
        <v>0</v>
      </c>
      <c r="H93" s="29">
        <v>0</v>
      </c>
      <c r="I93" s="56">
        <v>0</v>
      </c>
    </row>
    <row r="94" spans="1:9" x14ac:dyDescent="0.65">
      <c r="A94" s="23">
        <v>5890</v>
      </c>
      <c r="B94" s="24" t="s">
        <v>116</v>
      </c>
      <c r="C94" s="45">
        <v>15</v>
      </c>
      <c r="D94" s="45">
        <v>1404</v>
      </c>
      <c r="E94" s="45">
        <v>7</v>
      </c>
      <c r="F94" s="29">
        <v>39800000</v>
      </c>
      <c r="G94" s="29">
        <v>0</v>
      </c>
      <c r="H94" s="29">
        <v>0</v>
      </c>
      <c r="I94" s="56">
        <v>0</v>
      </c>
    </row>
    <row r="95" spans="1:9" x14ac:dyDescent="0.65">
      <c r="A95" s="23">
        <v>5898</v>
      </c>
      <c r="B95" s="24" t="s">
        <v>117</v>
      </c>
      <c r="C95" s="45">
        <v>29</v>
      </c>
      <c r="D95" s="45">
        <v>1404</v>
      </c>
      <c r="E95" s="45">
        <v>7</v>
      </c>
      <c r="F95" s="29">
        <v>39800000</v>
      </c>
      <c r="G95" s="29">
        <v>33333333</v>
      </c>
      <c r="H95" s="29">
        <v>0</v>
      </c>
      <c r="I95" s="56">
        <v>2000000</v>
      </c>
    </row>
    <row r="96" spans="1:9" x14ac:dyDescent="0.65">
      <c r="A96" s="23">
        <v>5900</v>
      </c>
      <c r="B96" s="24" t="s">
        <v>118</v>
      </c>
      <c r="C96" s="45">
        <v>42</v>
      </c>
      <c r="D96" s="45">
        <v>1404</v>
      </c>
      <c r="E96" s="45">
        <v>7</v>
      </c>
      <c r="F96" s="29">
        <v>9950000</v>
      </c>
      <c r="G96" s="29">
        <v>0</v>
      </c>
      <c r="H96" s="29">
        <v>0</v>
      </c>
      <c r="I96" s="56">
        <v>0</v>
      </c>
    </row>
    <row r="97" spans="1:9" x14ac:dyDescent="0.65">
      <c r="A97" s="23">
        <v>5907</v>
      </c>
      <c r="B97" s="24" t="s">
        <v>123</v>
      </c>
      <c r="C97" s="45">
        <v>16</v>
      </c>
      <c r="D97" s="45">
        <v>1404</v>
      </c>
      <c r="E97" s="45">
        <v>7</v>
      </c>
      <c r="F97" s="29">
        <v>29850000</v>
      </c>
      <c r="G97" s="29">
        <v>99999999</v>
      </c>
      <c r="H97" s="29">
        <v>0</v>
      </c>
      <c r="I97" s="56">
        <v>0</v>
      </c>
    </row>
    <row r="98" spans="1:9" x14ac:dyDescent="0.65">
      <c r="A98" s="23">
        <v>5908</v>
      </c>
      <c r="B98" s="24" t="s">
        <v>212</v>
      </c>
      <c r="C98" s="45">
        <v>156</v>
      </c>
      <c r="D98" s="45">
        <v>1404</v>
      </c>
      <c r="E98" s="45">
        <v>7</v>
      </c>
      <c r="F98" s="29">
        <v>0</v>
      </c>
      <c r="G98" s="29">
        <v>0</v>
      </c>
      <c r="H98" s="29">
        <v>0</v>
      </c>
      <c r="I98" s="56">
        <v>0</v>
      </c>
    </row>
    <row r="99" spans="1:9" x14ac:dyDescent="0.65">
      <c r="A99" s="23">
        <v>5909</v>
      </c>
      <c r="B99" s="24" t="s">
        <v>124</v>
      </c>
      <c r="C99" s="45">
        <v>23</v>
      </c>
      <c r="D99" s="45">
        <v>1404</v>
      </c>
      <c r="E99" s="45">
        <v>7</v>
      </c>
      <c r="F99" s="29">
        <v>39800000</v>
      </c>
      <c r="G99" s="29">
        <v>0</v>
      </c>
      <c r="H99" s="29">
        <v>0</v>
      </c>
      <c r="I99" s="56">
        <v>0</v>
      </c>
    </row>
    <row r="100" spans="1:9" x14ac:dyDescent="0.65">
      <c r="A100" s="23">
        <v>5914</v>
      </c>
      <c r="B100" s="24" t="s">
        <v>125</v>
      </c>
      <c r="C100" s="45">
        <v>14</v>
      </c>
      <c r="D100" s="45">
        <v>1404</v>
      </c>
      <c r="E100" s="45">
        <v>7</v>
      </c>
      <c r="F100" s="29">
        <v>0</v>
      </c>
      <c r="G100" s="29">
        <v>99999999</v>
      </c>
      <c r="H100" s="29">
        <v>0</v>
      </c>
      <c r="I100" s="56">
        <v>0</v>
      </c>
    </row>
    <row r="101" spans="1:9" x14ac:dyDescent="0.65">
      <c r="A101" s="23">
        <v>5918</v>
      </c>
      <c r="B101" s="24" t="s">
        <v>126</v>
      </c>
      <c r="C101" s="45">
        <v>9</v>
      </c>
      <c r="D101" s="45">
        <v>1404</v>
      </c>
      <c r="E101" s="45">
        <v>7</v>
      </c>
      <c r="F101" s="29">
        <v>39800000</v>
      </c>
      <c r="G101" s="29">
        <v>0</v>
      </c>
      <c r="H101" s="29">
        <v>0</v>
      </c>
      <c r="I101" s="56">
        <v>0</v>
      </c>
    </row>
    <row r="102" spans="1:9" x14ac:dyDescent="0.65">
      <c r="A102" s="23">
        <v>5919</v>
      </c>
      <c r="B102" s="24" t="s">
        <v>127</v>
      </c>
      <c r="C102" s="45">
        <v>152</v>
      </c>
      <c r="D102" s="45">
        <v>1404</v>
      </c>
      <c r="E102" s="45">
        <v>7</v>
      </c>
      <c r="F102" s="29">
        <v>39800000</v>
      </c>
      <c r="G102" s="29">
        <v>0</v>
      </c>
      <c r="H102" s="29">
        <v>0</v>
      </c>
      <c r="I102" s="56">
        <v>6000000</v>
      </c>
    </row>
    <row r="103" spans="1:9" x14ac:dyDescent="0.65">
      <c r="A103" s="23">
        <v>5922</v>
      </c>
      <c r="B103" s="24" t="s">
        <v>129</v>
      </c>
      <c r="C103" s="45">
        <v>312</v>
      </c>
      <c r="D103" s="45">
        <v>1404</v>
      </c>
      <c r="E103" s="45">
        <v>7</v>
      </c>
      <c r="F103" s="29">
        <v>0</v>
      </c>
      <c r="G103" s="29">
        <v>0</v>
      </c>
      <c r="H103" s="29">
        <v>0</v>
      </c>
      <c r="I103" s="56">
        <v>0</v>
      </c>
    </row>
    <row r="104" spans="1:9" x14ac:dyDescent="0.65">
      <c r="A104" s="23">
        <v>5924</v>
      </c>
      <c r="B104" s="24" t="s">
        <v>130</v>
      </c>
      <c r="C104" s="45">
        <v>54</v>
      </c>
      <c r="D104" s="45">
        <v>1404</v>
      </c>
      <c r="E104" s="45">
        <v>7</v>
      </c>
      <c r="F104" s="29">
        <v>19900000</v>
      </c>
      <c r="G104" s="29">
        <v>50000000</v>
      </c>
      <c r="H104" s="29">
        <v>0</v>
      </c>
      <c r="I104" s="56">
        <v>1464000</v>
      </c>
    </row>
    <row r="105" spans="1:9" x14ac:dyDescent="0.65">
      <c r="A105" s="23">
        <v>5926</v>
      </c>
      <c r="B105" s="24" t="s">
        <v>131</v>
      </c>
      <c r="C105" s="45">
        <v>112</v>
      </c>
      <c r="D105" s="45">
        <v>1404</v>
      </c>
      <c r="E105" s="45">
        <v>7</v>
      </c>
      <c r="F105" s="29">
        <v>39800000</v>
      </c>
      <c r="G105" s="29">
        <v>60000000</v>
      </c>
      <c r="H105" s="29">
        <v>0</v>
      </c>
      <c r="I105" s="56">
        <v>26903117</v>
      </c>
    </row>
    <row r="106" spans="1:9" x14ac:dyDescent="0.65">
      <c r="A106" s="23">
        <v>5927</v>
      </c>
      <c r="B106" s="24" t="s">
        <v>132</v>
      </c>
      <c r="C106" s="45">
        <v>153</v>
      </c>
      <c r="D106" s="45">
        <v>1404</v>
      </c>
      <c r="E106" s="45">
        <v>7</v>
      </c>
      <c r="F106" s="29">
        <v>9950000</v>
      </c>
      <c r="G106" s="29">
        <v>0</v>
      </c>
      <c r="H106" s="29">
        <v>0</v>
      </c>
      <c r="I106" s="56">
        <v>0</v>
      </c>
    </row>
    <row r="107" spans="1:9" x14ac:dyDescent="0.65">
      <c r="A107" s="23">
        <v>5931</v>
      </c>
      <c r="B107" s="24" t="s">
        <v>133</v>
      </c>
      <c r="C107" s="45">
        <v>113</v>
      </c>
      <c r="D107" s="45">
        <v>1404</v>
      </c>
      <c r="E107" s="45">
        <v>7</v>
      </c>
      <c r="F107" s="29">
        <v>39800000</v>
      </c>
      <c r="G107" s="29">
        <v>40000000</v>
      </c>
      <c r="H107" s="29">
        <v>0</v>
      </c>
      <c r="I107" s="56">
        <v>0</v>
      </c>
    </row>
    <row r="108" spans="1:9" x14ac:dyDescent="0.65">
      <c r="A108" s="23">
        <v>5936</v>
      </c>
      <c r="B108" s="24" t="s">
        <v>134</v>
      </c>
      <c r="C108" s="45">
        <v>11</v>
      </c>
      <c r="D108" s="45">
        <v>1404</v>
      </c>
      <c r="E108" s="45">
        <v>7</v>
      </c>
      <c r="F108" s="29">
        <v>39800000</v>
      </c>
      <c r="G108" s="29">
        <v>0</v>
      </c>
      <c r="H108" s="29">
        <v>0</v>
      </c>
      <c r="I108" s="56">
        <v>0</v>
      </c>
    </row>
    <row r="109" spans="1:9" x14ac:dyDescent="0.65">
      <c r="A109" s="23">
        <v>5941</v>
      </c>
      <c r="B109" s="24" t="s">
        <v>137</v>
      </c>
      <c r="C109" s="45">
        <v>184</v>
      </c>
      <c r="D109" s="45">
        <v>1404</v>
      </c>
      <c r="E109" s="45">
        <v>7</v>
      </c>
      <c r="F109" s="29">
        <v>9950000</v>
      </c>
      <c r="G109" s="29">
        <v>0</v>
      </c>
      <c r="H109" s="29">
        <v>0</v>
      </c>
      <c r="I109" s="56">
        <v>0</v>
      </c>
    </row>
    <row r="110" spans="1:9" x14ac:dyDescent="0.65">
      <c r="A110" s="23">
        <v>5942</v>
      </c>
      <c r="B110" s="24" t="s">
        <v>138</v>
      </c>
      <c r="C110" s="45">
        <v>59</v>
      </c>
      <c r="D110" s="45">
        <v>1404</v>
      </c>
      <c r="E110" s="45">
        <v>7</v>
      </c>
      <c r="F110" s="29">
        <v>9950000</v>
      </c>
      <c r="G110" s="29">
        <v>0</v>
      </c>
      <c r="H110" s="29">
        <v>0</v>
      </c>
      <c r="I110" s="56">
        <v>0</v>
      </c>
    </row>
    <row r="111" spans="1:9" x14ac:dyDescent="0.65">
      <c r="A111" s="23">
        <v>5944</v>
      </c>
      <c r="B111" s="24" t="s">
        <v>139</v>
      </c>
      <c r="C111" s="45">
        <v>173</v>
      </c>
      <c r="D111" s="45">
        <v>1404</v>
      </c>
      <c r="E111" s="45">
        <v>7</v>
      </c>
      <c r="F111" s="29">
        <v>29850000</v>
      </c>
      <c r="G111" s="29">
        <v>0</v>
      </c>
      <c r="H111" s="29">
        <v>0</v>
      </c>
      <c r="I111" s="56">
        <v>0</v>
      </c>
    </row>
    <row r="112" spans="1:9" x14ac:dyDescent="0.65">
      <c r="A112" s="23">
        <v>5950</v>
      </c>
      <c r="B112" s="24" t="s">
        <v>141</v>
      </c>
      <c r="C112" s="45">
        <v>308</v>
      </c>
      <c r="D112" s="45">
        <v>1404</v>
      </c>
      <c r="E112" s="45">
        <v>7</v>
      </c>
      <c r="F112" s="29">
        <v>39800000</v>
      </c>
      <c r="G112" s="29">
        <v>0</v>
      </c>
      <c r="H112" s="29">
        <v>0</v>
      </c>
      <c r="I112" s="56">
        <v>0</v>
      </c>
    </row>
    <row r="113" spans="1:9" x14ac:dyDescent="0.65">
      <c r="A113" s="23">
        <v>5957</v>
      </c>
      <c r="B113" s="24" t="s">
        <v>142</v>
      </c>
      <c r="C113" s="45">
        <v>88</v>
      </c>
      <c r="D113" s="45">
        <v>1404</v>
      </c>
      <c r="E113" s="45">
        <v>7</v>
      </c>
      <c r="F113" s="29">
        <v>9950000</v>
      </c>
      <c r="G113" s="29">
        <v>0</v>
      </c>
      <c r="H113" s="29">
        <v>0</v>
      </c>
      <c r="I113" s="56">
        <v>0</v>
      </c>
    </row>
    <row r="114" spans="1:9" x14ac:dyDescent="0.65">
      <c r="A114" s="23">
        <v>5960</v>
      </c>
      <c r="B114" s="24" t="s">
        <v>144</v>
      </c>
      <c r="C114" s="45">
        <v>115</v>
      </c>
      <c r="D114" s="45">
        <v>1404</v>
      </c>
      <c r="E114" s="45">
        <v>7</v>
      </c>
      <c r="F114" s="29">
        <v>39800000</v>
      </c>
      <c r="G114" s="29">
        <v>50000000</v>
      </c>
      <c r="H114" s="29">
        <v>0</v>
      </c>
      <c r="I114" s="56">
        <v>0</v>
      </c>
    </row>
    <row r="115" spans="1:9" x14ac:dyDescent="0.65">
      <c r="A115" s="23">
        <v>5961</v>
      </c>
      <c r="B115" s="24" t="s">
        <v>145</v>
      </c>
      <c r="C115" s="45">
        <v>1</v>
      </c>
      <c r="D115" s="45">
        <v>1404</v>
      </c>
      <c r="E115" s="45">
        <v>7</v>
      </c>
      <c r="F115" s="29">
        <v>39800000</v>
      </c>
      <c r="G115" s="29">
        <v>0</v>
      </c>
      <c r="H115" s="29">
        <v>0</v>
      </c>
      <c r="I115" s="56">
        <v>0</v>
      </c>
    </row>
    <row r="116" spans="1:9" x14ac:dyDescent="0.65">
      <c r="A116" s="23">
        <v>5962</v>
      </c>
      <c r="B116" s="24" t="s">
        <v>146</v>
      </c>
      <c r="C116" s="45">
        <v>33</v>
      </c>
      <c r="D116" s="45">
        <v>1404</v>
      </c>
      <c r="E116" s="45">
        <v>7</v>
      </c>
      <c r="F116" s="29">
        <v>19900000</v>
      </c>
      <c r="G116" s="29">
        <v>40000000</v>
      </c>
      <c r="H116" s="29">
        <v>0</v>
      </c>
      <c r="I116" s="56">
        <v>0</v>
      </c>
    </row>
    <row r="117" spans="1:9" x14ac:dyDescent="0.65">
      <c r="A117" s="23">
        <v>5963</v>
      </c>
      <c r="B117" s="24" t="s">
        <v>217</v>
      </c>
      <c r="C117" s="45">
        <v>310</v>
      </c>
      <c r="D117" s="45">
        <v>1404</v>
      </c>
      <c r="E117" s="45">
        <v>7</v>
      </c>
      <c r="F117" s="29">
        <v>0</v>
      </c>
      <c r="G117" s="29">
        <v>40000000</v>
      </c>
      <c r="H117" s="29">
        <v>0</v>
      </c>
      <c r="I117" s="56">
        <v>0</v>
      </c>
    </row>
    <row r="118" spans="1:9" x14ac:dyDescent="0.65">
      <c r="A118" s="23">
        <v>5966</v>
      </c>
      <c r="B118" s="24" t="s">
        <v>147</v>
      </c>
      <c r="C118" s="45">
        <v>172</v>
      </c>
      <c r="D118" s="45">
        <v>1404</v>
      </c>
      <c r="E118" s="45">
        <v>7</v>
      </c>
      <c r="F118" s="29">
        <v>19900000</v>
      </c>
      <c r="G118" s="29">
        <v>0</v>
      </c>
      <c r="H118" s="29">
        <v>0</v>
      </c>
      <c r="I118" s="56">
        <v>0</v>
      </c>
    </row>
    <row r="119" spans="1:9" x14ac:dyDescent="0.65">
      <c r="A119" s="23">
        <v>5968</v>
      </c>
      <c r="B119" s="24" t="s">
        <v>149</v>
      </c>
      <c r="C119" s="45">
        <v>202</v>
      </c>
      <c r="D119" s="45">
        <v>1404</v>
      </c>
      <c r="E119" s="45">
        <v>7</v>
      </c>
      <c r="F119" s="29">
        <v>29850000</v>
      </c>
      <c r="G119" s="29">
        <v>40000000</v>
      </c>
      <c r="H119" s="29">
        <v>0</v>
      </c>
      <c r="I119" s="56">
        <v>0</v>
      </c>
    </row>
    <row r="120" spans="1:9" x14ac:dyDescent="0.65">
      <c r="A120" s="23">
        <v>5973</v>
      </c>
      <c r="B120" s="24" t="s">
        <v>220</v>
      </c>
      <c r="C120" s="45">
        <v>304</v>
      </c>
      <c r="D120" s="45">
        <v>1404</v>
      </c>
      <c r="E120" s="45">
        <v>7</v>
      </c>
      <c r="F120" s="29">
        <v>9950000</v>
      </c>
      <c r="G120" s="29">
        <v>0</v>
      </c>
      <c r="H120" s="29">
        <v>0</v>
      </c>
      <c r="I120" s="56">
        <v>0</v>
      </c>
    </row>
    <row r="121" spans="1:9" x14ac:dyDescent="0.65">
      <c r="A121" s="23">
        <v>5976</v>
      </c>
      <c r="B121" s="24" t="s">
        <v>150</v>
      </c>
      <c r="C121" s="45">
        <v>326</v>
      </c>
      <c r="D121" s="45">
        <v>1404</v>
      </c>
      <c r="E121" s="45">
        <v>7</v>
      </c>
      <c r="F121" s="29">
        <v>39800000</v>
      </c>
      <c r="G121" s="29">
        <v>0</v>
      </c>
      <c r="H121" s="29">
        <v>0</v>
      </c>
      <c r="I121" s="56">
        <v>0</v>
      </c>
    </row>
    <row r="122" spans="1:9" x14ac:dyDescent="0.65">
      <c r="A122" s="23">
        <v>5981</v>
      </c>
      <c r="B122" s="24" t="s">
        <v>222</v>
      </c>
      <c r="C122" s="45">
        <v>335</v>
      </c>
      <c r="D122" s="45">
        <v>1404</v>
      </c>
      <c r="E122" s="45">
        <v>7</v>
      </c>
      <c r="F122" s="29">
        <v>0</v>
      </c>
      <c r="G122" s="29">
        <v>80000000</v>
      </c>
      <c r="H122" s="29">
        <v>0</v>
      </c>
      <c r="I122" s="56">
        <v>0</v>
      </c>
    </row>
    <row r="123" spans="1:9" x14ac:dyDescent="0.65">
      <c r="A123" s="23">
        <v>5988</v>
      </c>
      <c r="B123" s="24" t="s">
        <v>152</v>
      </c>
      <c r="C123" s="45">
        <v>323</v>
      </c>
      <c r="D123" s="45">
        <v>1404</v>
      </c>
      <c r="E123" s="45">
        <v>7</v>
      </c>
      <c r="F123" s="29">
        <v>49750000</v>
      </c>
      <c r="G123" s="29">
        <v>0</v>
      </c>
      <c r="H123" s="29">
        <v>0</v>
      </c>
      <c r="I123" s="56">
        <v>0</v>
      </c>
    </row>
    <row r="124" spans="1:9" x14ac:dyDescent="0.65">
      <c r="A124" s="23">
        <v>5995</v>
      </c>
      <c r="B124" s="24" t="s">
        <v>155</v>
      </c>
      <c r="C124" s="45">
        <v>328</v>
      </c>
      <c r="D124" s="45">
        <v>1404</v>
      </c>
      <c r="E124" s="45">
        <v>7</v>
      </c>
      <c r="F124" s="29">
        <v>9950000</v>
      </c>
      <c r="G124" s="29">
        <v>0</v>
      </c>
      <c r="H124" s="29">
        <v>0</v>
      </c>
      <c r="I124" s="56">
        <v>0</v>
      </c>
    </row>
    <row r="125" spans="1:9" x14ac:dyDescent="0.65">
      <c r="A125" s="23">
        <v>6001</v>
      </c>
      <c r="B125" s="24" t="s">
        <v>227</v>
      </c>
      <c r="C125" s="45">
        <v>366</v>
      </c>
      <c r="D125" s="45">
        <v>1404</v>
      </c>
      <c r="E125" s="45">
        <v>7</v>
      </c>
      <c r="F125" s="29">
        <v>49750000</v>
      </c>
      <c r="G125" s="29">
        <v>0</v>
      </c>
      <c r="H125" s="29">
        <v>0</v>
      </c>
      <c r="I125" s="56">
        <v>0</v>
      </c>
    </row>
    <row r="126" spans="1:9" x14ac:dyDescent="0.65">
      <c r="A126" s="23">
        <v>6004</v>
      </c>
      <c r="B126" s="24" t="s">
        <v>158</v>
      </c>
      <c r="C126" s="45">
        <v>352</v>
      </c>
      <c r="D126" s="45">
        <v>1404</v>
      </c>
      <c r="E126" s="45">
        <v>7</v>
      </c>
      <c r="F126" s="29">
        <v>39800000</v>
      </c>
      <c r="G126" s="29">
        <v>0</v>
      </c>
      <c r="H126" s="29">
        <v>0</v>
      </c>
      <c r="I126" s="56">
        <v>0</v>
      </c>
    </row>
    <row r="127" spans="1:9" x14ac:dyDescent="0.65">
      <c r="A127" s="23">
        <v>6006</v>
      </c>
      <c r="B127" s="24" t="s">
        <v>159</v>
      </c>
      <c r="C127" s="45">
        <v>341</v>
      </c>
      <c r="D127" s="45">
        <v>1404</v>
      </c>
      <c r="E127" s="45">
        <v>7</v>
      </c>
      <c r="F127" s="29">
        <v>9950000</v>
      </c>
      <c r="G127" s="29">
        <v>0</v>
      </c>
      <c r="H127" s="29">
        <v>0</v>
      </c>
      <c r="I127" s="56">
        <v>0</v>
      </c>
    </row>
    <row r="128" spans="1:9" x14ac:dyDescent="0.65">
      <c r="A128" s="23">
        <v>6011</v>
      </c>
      <c r="B128" s="24" t="s">
        <v>160</v>
      </c>
      <c r="C128" s="45">
        <v>345</v>
      </c>
      <c r="D128" s="45">
        <v>1404</v>
      </c>
      <c r="E128" s="45">
        <v>7</v>
      </c>
      <c r="F128" s="29">
        <v>0</v>
      </c>
      <c r="G128" s="29">
        <v>40000000</v>
      </c>
      <c r="H128" s="29">
        <v>0</v>
      </c>
      <c r="I128" s="56">
        <v>0</v>
      </c>
    </row>
    <row r="129" spans="1:9" x14ac:dyDescent="0.65">
      <c r="A129" s="23">
        <v>6015</v>
      </c>
      <c r="B129" s="24" t="s">
        <v>162</v>
      </c>
      <c r="C129" s="45">
        <v>359</v>
      </c>
      <c r="D129" s="45">
        <v>1404</v>
      </c>
      <c r="E129" s="45">
        <v>7</v>
      </c>
      <c r="F129" s="29">
        <v>0</v>
      </c>
      <c r="G129" s="29">
        <v>40000000</v>
      </c>
      <c r="H129" s="29">
        <v>0</v>
      </c>
      <c r="I129" s="56">
        <v>0</v>
      </c>
    </row>
    <row r="130" spans="1:9" x14ac:dyDescent="0.65">
      <c r="A130" s="23">
        <v>6016</v>
      </c>
      <c r="B130" s="24" t="s">
        <v>163</v>
      </c>
      <c r="C130" s="45">
        <v>375</v>
      </c>
      <c r="D130" s="45">
        <v>1404</v>
      </c>
      <c r="E130" s="45">
        <v>7</v>
      </c>
      <c r="F130" s="29">
        <v>9950000</v>
      </c>
      <c r="G130" s="29">
        <v>0</v>
      </c>
      <c r="H130" s="29">
        <v>0</v>
      </c>
      <c r="I130" s="56">
        <v>0</v>
      </c>
    </row>
    <row r="131" spans="1:9" x14ac:dyDescent="0.65">
      <c r="A131" s="23">
        <v>6020</v>
      </c>
      <c r="B131" s="24" t="s">
        <v>167</v>
      </c>
      <c r="C131" s="45">
        <v>425</v>
      </c>
      <c r="D131" s="45">
        <v>1404</v>
      </c>
      <c r="E131" s="45">
        <v>7</v>
      </c>
      <c r="F131" s="29">
        <v>19900000</v>
      </c>
      <c r="G131" s="29">
        <v>0</v>
      </c>
      <c r="H131" s="29">
        <v>13783502</v>
      </c>
      <c r="I131" s="56">
        <v>0</v>
      </c>
    </row>
    <row r="132" spans="1:9" x14ac:dyDescent="0.65">
      <c r="A132" s="23">
        <v>6026</v>
      </c>
      <c r="B132" s="24" t="s">
        <v>170</v>
      </c>
      <c r="C132" s="45">
        <v>370</v>
      </c>
      <c r="D132" s="45">
        <v>1404</v>
      </c>
      <c r="E132" s="45">
        <v>7</v>
      </c>
      <c r="F132" s="29">
        <v>9950000</v>
      </c>
      <c r="G132" s="29">
        <v>0</v>
      </c>
      <c r="H132" s="29">
        <v>0</v>
      </c>
      <c r="I132" s="56">
        <v>0</v>
      </c>
    </row>
    <row r="133" spans="1:9" x14ac:dyDescent="0.65">
      <c r="A133" s="23">
        <v>6028</v>
      </c>
      <c r="B133" s="24" t="s">
        <v>171</v>
      </c>
      <c r="C133" s="45">
        <v>398</v>
      </c>
      <c r="D133" s="45">
        <v>1404</v>
      </c>
      <c r="E133" s="45">
        <v>7</v>
      </c>
      <c r="F133" s="29">
        <v>19900000</v>
      </c>
      <c r="G133" s="29">
        <v>0</v>
      </c>
      <c r="H133" s="29">
        <v>0</v>
      </c>
      <c r="I133" s="56">
        <v>0</v>
      </c>
    </row>
    <row r="134" spans="1:9" x14ac:dyDescent="0.65">
      <c r="A134" s="23">
        <v>6037</v>
      </c>
      <c r="B134" s="24" t="s">
        <v>174</v>
      </c>
      <c r="C134" s="45">
        <v>387</v>
      </c>
      <c r="D134" s="45">
        <v>1404</v>
      </c>
      <c r="E134" s="45">
        <v>7</v>
      </c>
      <c r="F134" s="29">
        <v>39800000</v>
      </c>
      <c r="G134" s="29">
        <v>33333333</v>
      </c>
      <c r="H134" s="29">
        <v>0</v>
      </c>
      <c r="I134" s="56">
        <v>0</v>
      </c>
    </row>
    <row r="135" spans="1:9" x14ac:dyDescent="0.65">
      <c r="A135" s="23">
        <v>6041</v>
      </c>
      <c r="B135" s="24" t="s">
        <v>175</v>
      </c>
      <c r="C135" s="45">
        <v>338</v>
      </c>
      <c r="D135" s="45">
        <v>1404</v>
      </c>
      <c r="E135" s="45">
        <v>7</v>
      </c>
      <c r="F135" s="29">
        <v>39800000</v>
      </c>
      <c r="G135" s="29">
        <v>0</v>
      </c>
      <c r="H135" s="29">
        <v>0</v>
      </c>
      <c r="I135" s="56">
        <v>0</v>
      </c>
    </row>
    <row r="136" spans="1:9" x14ac:dyDescent="0.65">
      <c r="A136" s="23">
        <v>6042</v>
      </c>
      <c r="B136" s="24" t="s">
        <v>176</v>
      </c>
      <c r="C136" s="45">
        <v>378</v>
      </c>
      <c r="D136" s="45">
        <v>1404</v>
      </c>
      <c r="E136" s="45">
        <v>7</v>
      </c>
      <c r="F136" s="29">
        <v>9950000</v>
      </c>
      <c r="G136" s="29">
        <v>0</v>
      </c>
      <c r="H136" s="29">
        <v>0</v>
      </c>
      <c r="I136" s="56">
        <v>0</v>
      </c>
    </row>
    <row r="137" spans="1:9" x14ac:dyDescent="0.65">
      <c r="A137" s="23">
        <v>6045</v>
      </c>
      <c r="B137" s="24" t="s">
        <v>178</v>
      </c>
      <c r="C137" s="45">
        <v>388</v>
      </c>
      <c r="D137" s="45">
        <v>1404</v>
      </c>
      <c r="E137" s="45">
        <v>7</v>
      </c>
      <c r="F137" s="29">
        <v>19900000</v>
      </c>
      <c r="G137" s="29">
        <v>0</v>
      </c>
      <c r="H137" s="29">
        <v>0</v>
      </c>
      <c r="I137" s="56">
        <v>0</v>
      </c>
    </row>
    <row r="138" spans="1:9" x14ac:dyDescent="0.65">
      <c r="A138" s="23">
        <v>6046</v>
      </c>
      <c r="B138" s="24" t="s">
        <v>179</v>
      </c>
      <c r="C138" s="45">
        <v>396</v>
      </c>
      <c r="D138" s="45">
        <v>1404</v>
      </c>
      <c r="E138" s="45">
        <v>7</v>
      </c>
      <c r="F138" s="29">
        <v>0</v>
      </c>
      <c r="G138" s="29">
        <v>40000000</v>
      </c>
      <c r="H138" s="29">
        <v>0</v>
      </c>
      <c r="I138" s="56">
        <v>0</v>
      </c>
    </row>
    <row r="139" spans="1:9" x14ac:dyDescent="0.65">
      <c r="A139" s="23">
        <v>6055</v>
      </c>
      <c r="B139" s="24" t="s">
        <v>180</v>
      </c>
      <c r="C139" s="45">
        <v>400</v>
      </c>
      <c r="D139" s="45">
        <v>1404</v>
      </c>
      <c r="E139" s="45">
        <v>7</v>
      </c>
      <c r="F139" s="29">
        <v>9950000</v>
      </c>
      <c r="G139" s="29">
        <v>0</v>
      </c>
      <c r="H139" s="29">
        <v>0</v>
      </c>
      <c r="I139" s="56">
        <v>0</v>
      </c>
    </row>
    <row r="140" spans="1:9" x14ac:dyDescent="0.65">
      <c r="A140" s="23">
        <v>6059</v>
      </c>
      <c r="B140" s="24" t="s">
        <v>182</v>
      </c>
      <c r="C140" s="45">
        <v>201</v>
      </c>
      <c r="D140" s="45">
        <v>1404</v>
      </c>
      <c r="E140" s="45">
        <v>7</v>
      </c>
      <c r="F140" s="29">
        <v>0</v>
      </c>
      <c r="G140" s="29">
        <v>60000000</v>
      </c>
      <c r="H140" s="29">
        <v>25400739</v>
      </c>
      <c r="I140" s="56">
        <v>0</v>
      </c>
    </row>
    <row r="141" spans="1:9" x14ac:dyDescent="0.65">
      <c r="A141" s="23">
        <v>6061</v>
      </c>
      <c r="B141" s="24" t="s">
        <v>183</v>
      </c>
      <c r="C141" s="45">
        <v>407</v>
      </c>
      <c r="D141" s="45">
        <v>1404</v>
      </c>
      <c r="E141" s="45">
        <v>7</v>
      </c>
      <c r="F141" s="29">
        <v>9950000</v>
      </c>
      <c r="G141" s="29">
        <v>40000000</v>
      </c>
      <c r="H141" s="29">
        <v>0</v>
      </c>
      <c r="I141" s="56">
        <v>0</v>
      </c>
    </row>
    <row r="142" spans="1:9" x14ac:dyDescent="0.65">
      <c r="A142" s="23">
        <v>6064</v>
      </c>
      <c r="B142" s="24" t="s">
        <v>269</v>
      </c>
      <c r="C142" s="45">
        <v>412</v>
      </c>
      <c r="D142" s="45">
        <v>1404</v>
      </c>
      <c r="E142" s="45">
        <v>7</v>
      </c>
      <c r="F142" s="29">
        <v>19900000</v>
      </c>
      <c r="G142" s="29">
        <v>0</v>
      </c>
      <c r="H142" s="29">
        <v>0</v>
      </c>
      <c r="I142" s="56">
        <v>0</v>
      </c>
    </row>
    <row r="143" spans="1:9" x14ac:dyDescent="0.65">
      <c r="A143" s="23">
        <v>6069</v>
      </c>
      <c r="B143" s="24" t="s">
        <v>185</v>
      </c>
      <c r="C143" s="45">
        <v>418</v>
      </c>
      <c r="D143" s="45">
        <v>1404</v>
      </c>
      <c r="E143" s="45">
        <v>7</v>
      </c>
      <c r="F143" s="29">
        <v>19900000</v>
      </c>
      <c r="G143" s="29">
        <v>0</v>
      </c>
      <c r="H143" s="29">
        <v>0</v>
      </c>
      <c r="I143" s="56">
        <v>0</v>
      </c>
    </row>
    <row r="144" spans="1:9" x14ac:dyDescent="0.65">
      <c r="A144" s="23">
        <v>6075</v>
      </c>
      <c r="B144" s="24" t="s">
        <v>187</v>
      </c>
      <c r="C144" s="45">
        <v>415</v>
      </c>
      <c r="D144" s="45">
        <v>1404</v>
      </c>
      <c r="E144" s="45">
        <v>7</v>
      </c>
      <c r="F144" s="29">
        <v>39800000</v>
      </c>
      <c r="G144" s="29">
        <v>0</v>
      </c>
      <c r="H144" s="29">
        <v>0</v>
      </c>
      <c r="I144" s="56">
        <v>0</v>
      </c>
    </row>
    <row r="145" spans="1:9" x14ac:dyDescent="0.65">
      <c r="A145" s="23">
        <v>6079</v>
      </c>
      <c r="B145" s="24" t="s">
        <v>189</v>
      </c>
      <c r="C145" s="45">
        <v>433</v>
      </c>
      <c r="D145" s="45">
        <v>1404</v>
      </c>
      <c r="E145" s="45">
        <v>7</v>
      </c>
      <c r="F145" s="29">
        <v>29850000</v>
      </c>
      <c r="G145" s="29">
        <v>0</v>
      </c>
      <c r="H145" s="29">
        <v>0</v>
      </c>
      <c r="I145" s="56">
        <v>0</v>
      </c>
    </row>
    <row r="146" spans="1:9" x14ac:dyDescent="0.65">
      <c r="A146" s="23">
        <v>6084</v>
      </c>
      <c r="B146" s="24" t="s">
        <v>190</v>
      </c>
      <c r="C146" s="45">
        <v>416</v>
      </c>
      <c r="D146" s="45">
        <v>1404</v>
      </c>
      <c r="E146" s="45">
        <v>7</v>
      </c>
      <c r="F146" s="29">
        <v>19900000</v>
      </c>
      <c r="G146" s="29">
        <v>0</v>
      </c>
      <c r="H146" s="29">
        <v>0</v>
      </c>
      <c r="I146" s="56">
        <v>0</v>
      </c>
    </row>
    <row r="147" spans="1:9" x14ac:dyDescent="0.65">
      <c r="A147" s="23">
        <v>6087</v>
      </c>
      <c r="B147" s="24" t="s">
        <v>191</v>
      </c>
      <c r="C147" s="45">
        <v>443</v>
      </c>
      <c r="D147" s="45">
        <v>1404</v>
      </c>
      <c r="E147" s="45">
        <v>7</v>
      </c>
      <c r="F147" s="29">
        <v>19900000</v>
      </c>
      <c r="G147" s="29">
        <v>0</v>
      </c>
      <c r="H147" s="29">
        <v>0</v>
      </c>
      <c r="I147" s="56">
        <v>0</v>
      </c>
    </row>
    <row r="148" spans="1:9" x14ac:dyDescent="0.65">
      <c r="A148" s="23">
        <v>6089</v>
      </c>
      <c r="B148" s="24" t="s">
        <v>193</v>
      </c>
      <c r="C148" s="45">
        <v>440</v>
      </c>
      <c r="D148" s="45">
        <v>1404</v>
      </c>
      <c r="E148" s="45">
        <v>7</v>
      </c>
      <c r="F148" s="29">
        <v>49750000</v>
      </c>
      <c r="G148" s="29">
        <v>0</v>
      </c>
      <c r="H148" s="29">
        <v>724350</v>
      </c>
      <c r="I148" s="56">
        <v>0</v>
      </c>
    </row>
    <row r="149" spans="1:9" x14ac:dyDescent="0.65">
      <c r="A149" s="23">
        <v>6092</v>
      </c>
      <c r="B149" s="24" t="s">
        <v>194</v>
      </c>
      <c r="C149" s="45">
        <v>445</v>
      </c>
      <c r="D149" s="45">
        <v>1404</v>
      </c>
      <c r="E149" s="45">
        <v>7</v>
      </c>
      <c r="F149" s="29">
        <v>9950000</v>
      </c>
      <c r="G149" s="29">
        <v>0</v>
      </c>
      <c r="H149" s="29">
        <v>0</v>
      </c>
      <c r="I149" s="56">
        <v>0</v>
      </c>
    </row>
    <row r="150" spans="1:9" x14ac:dyDescent="0.65">
      <c r="A150" s="23">
        <v>6093</v>
      </c>
      <c r="B150" s="24" t="s">
        <v>195</v>
      </c>
      <c r="C150" s="45">
        <v>447</v>
      </c>
      <c r="D150" s="45">
        <v>1404</v>
      </c>
      <c r="E150" s="45">
        <v>7</v>
      </c>
      <c r="F150" s="29">
        <v>39800000</v>
      </c>
      <c r="G150" s="29">
        <v>0</v>
      </c>
      <c r="H150" s="29">
        <v>0</v>
      </c>
      <c r="I150" s="56">
        <v>0</v>
      </c>
    </row>
    <row r="151" spans="1:9" x14ac:dyDescent="0.65">
      <c r="A151" s="23">
        <v>6094</v>
      </c>
      <c r="B151" s="24" t="s">
        <v>196</v>
      </c>
      <c r="C151" s="45">
        <v>448</v>
      </c>
      <c r="D151" s="45">
        <v>1404</v>
      </c>
      <c r="E151" s="45">
        <v>7</v>
      </c>
      <c r="F151" s="29">
        <v>49750000</v>
      </c>
      <c r="G151" s="29">
        <v>0</v>
      </c>
      <c r="H151" s="29">
        <v>0</v>
      </c>
      <c r="I151" s="56">
        <v>0</v>
      </c>
    </row>
    <row r="152" spans="1:9" x14ac:dyDescent="0.65">
      <c r="A152" s="23">
        <v>6099</v>
      </c>
      <c r="B152" s="24" t="s">
        <v>199</v>
      </c>
      <c r="C152" s="45">
        <v>468</v>
      </c>
      <c r="D152" s="45">
        <v>1404</v>
      </c>
      <c r="E152" s="45">
        <v>7</v>
      </c>
      <c r="F152" s="29">
        <v>79600000</v>
      </c>
      <c r="G152" s="29">
        <v>100000000</v>
      </c>
      <c r="H152" s="29">
        <v>0</v>
      </c>
      <c r="I152" s="56">
        <v>0</v>
      </c>
    </row>
    <row r="153" spans="1:9" x14ac:dyDescent="0.65">
      <c r="A153" s="23">
        <v>6102</v>
      </c>
      <c r="B153" s="24" t="s">
        <v>200</v>
      </c>
      <c r="C153" s="45">
        <v>459</v>
      </c>
      <c r="D153" s="45">
        <v>1404</v>
      </c>
      <c r="E153" s="45">
        <v>7</v>
      </c>
      <c r="F153" s="29">
        <v>19900000</v>
      </c>
      <c r="G153" s="29">
        <v>0</v>
      </c>
      <c r="H153" s="29">
        <v>0</v>
      </c>
      <c r="I153" s="56">
        <v>0</v>
      </c>
    </row>
    <row r="154" spans="1:9" x14ac:dyDescent="0.65">
      <c r="A154" s="23">
        <v>6103</v>
      </c>
      <c r="B154" s="24" t="s">
        <v>201</v>
      </c>
      <c r="C154" s="45">
        <v>469</v>
      </c>
      <c r="D154" s="45">
        <v>1404</v>
      </c>
      <c r="E154" s="45">
        <v>7</v>
      </c>
      <c r="F154" s="29">
        <v>29850000</v>
      </c>
      <c r="G154" s="29">
        <v>0</v>
      </c>
      <c r="H154" s="29">
        <v>0</v>
      </c>
      <c r="I154" s="56">
        <v>0</v>
      </c>
    </row>
    <row r="155" spans="1:9" x14ac:dyDescent="0.65">
      <c r="A155" s="23">
        <v>6104</v>
      </c>
      <c r="B155" s="24" t="s">
        <v>202</v>
      </c>
      <c r="C155" s="45">
        <v>465</v>
      </c>
      <c r="D155" s="45">
        <v>1404</v>
      </c>
      <c r="E155" s="45">
        <v>7</v>
      </c>
      <c r="F155" s="29">
        <v>9950000</v>
      </c>
      <c r="G155" s="29">
        <v>0</v>
      </c>
      <c r="H155" s="29">
        <v>0</v>
      </c>
      <c r="I155" s="56">
        <v>0</v>
      </c>
    </row>
    <row r="156" spans="1:9" x14ac:dyDescent="0.65">
      <c r="A156" s="23">
        <v>6105</v>
      </c>
      <c r="B156" s="24" t="s">
        <v>245</v>
      </c>
      <c r="C156" s="45">
        <v>461</v>
      </c>
      <c r="D156" s="45">
        <v>1404</v>
      </c>
      <c r="E156" s="45">
        <v>7</v>
      </c>
      <c r="F156" s="29">
        <v>9950000</v>
      </c>
      <c r="G156" s="29">
        <v>0</v>
      </c>
      <c r="H156" s="29">
        <v>0</v>
      </c>
      <c r="I156" s="56">
        <v>0</v>
      </c>
    </row>
    <row r="157" spans="1:9" x14ac:dyDescent="0.65">
      <c r="A157" s="23">
        <v>6107</v>
      </c>
      <c r="B157" s="24" t="s">
        <v>267</v>
      </c>
      <c r="C157" s="45">
        <v>470</v>
      </c>
      <c r="D157" s="45">
        <v>1404</v>
      </c>
      <c r="E157" s="45">
        <v>7</v>
      </c>
      <c r="F157" s="29">
        <v>9950000</v>
      </c>
      <c r="G157" s="29">
        <v>0</v>
      </c>
      <c r="H157" s="29">
        <v>0</v>
      </c>
      <c r="I157" s="56">
        <v>0</v>
      </c>
    </row>
    <row r="158" spans="1:9" x14ac:dyDescent="0.65">
      <c r="A158" s="23">
        <v>6110</v>
      </c>
      <c r="B158" s="24" t="s">
        <v>203</v>
      </c>
      <c r="C158" s="45">
        <v>476</v>
      </c>
      <c r="D158" s="45">
        <v>1404</v>
      </c>
      <c r="E158" s="45">
        <v>7</v>
      </c>
      <c r="F158" s="29">
        <v>9950000</v>
      </c>
      <c r="G158" s="29">
        <v>0</v>
      </c>
      <c r="H158" s="29">
        <v>0</v>
      </c>
      <c r="I158" s="56">
        <v>0</v>
      </c>
    </row>
    <row r="159" spans="1:9" x14ac:dyDescent="0.65">
      <c r="A159" s="23">
        <v>6112</v>
      </c>
      <c r="B159" s="24" t="s">
        <v>239</v>
      </c>
      <c r="C159" s="45">
        <v>456</v>
      </c>
      <c r="D159" s="45">
        <v>1404</v>
      </c>
      <c r="E159" s="45">
        <v>7</v>
      </c>
      <c r="F159" s="29">
        <v>9950000</v>
      </c>
      <c r="G159" s="29">
        <v>0</v>
      </c>
      <c r="H159" s="29">
        <v>0</v>
      </c>
      <c r="I159" s="56">
        <v>0</v>
      </c>
    </row>
    <row r="160" spans="1:9" x14ac:dyDescent="0.65">
      <c r="A160" s="23">
        <v>6113</v>
      </c>
      <c r="B160" s="24" t="s">
        <v>240</v>
      </c>
      <c r="C160" s="45">
        <v>488</v>
      </c>
      <c r="D160" s="45">
        <v>1404</v>
      </c>
      <c r="E160" s="45">
        <v>7</v>
      </c>
      <c r="F160" s="29">
        <v>19900000</v>
      </c>
      <c r="G160" s="29">
        <v>0</v>
      </c>
      <c r="H160" s="29">
        <v>0</v>
      </c>
      <c r="I160" s="56">
        <v>0</v>
      </c>
    </row>
    <row r="161" spans="1:9" x14ac:dyDescent="0.65">
      <c r="A161" s="23">
        <v>6114</v>
      </c>
      <c r="B161" s="24" t="s">
        <v>241</v>
      </c>
      <c r="C161" s="45">
        <v>467</v>
      </c>
      <c r="D161" s="45">
        <v>1404</v>
      </c>
      <c r="E161" s="45">
        <v>7</v>
      </c>
      <c r="F161" s="29">
        <v>29850000</v>
      </c>
      <c r="G161" s="29">
        <v>100000000</v>
      </c>
      <c r="H161" s="29">
        <v>0</v>
      </c>
      <c r="I161" s="56">
        <v>0</v>
      </c>
    </row>
    <row r="162" spans="1:9" x14ac:dyDescent="0.65">
      <c r="A162" s="23">
        <v>6116</v>
      </c>
      <c r="B162" s="24" t="s">
        <v>242</v>
      </c>
      <c r="C162" s="45">
        <v>485</v>
      </c>
      <c r="D162" s="45">
        <v>1404</v>
      </c>
      <c r="E162" s="45">
        <v>7</v>
      </c>
      <c r="F162" s="29">
        <v>29850000</v>
      </c>
      <c r="G162" s="29">
        <v>0</v>
      </c>
      <c r="H162" s="29">
        <v>0</v>
      </c>
      <c r="I162" s="56">
        <v>0</v>
      </c>
    </row>
    <row r="163" spans="1:9" x14ac:dyDescent="0.65">
      <c r="A163" s="23">
        <v>6117</v>
      </c>
      <c r="B163" s="24" t="s">
        <v>270</v>
      </c>
      <c r="C163" s="45">
        <v>480</v>
      </c>
      <c r="D163" s="45">
        <v>1404</v>
      </c>
      <c r="E163" s="45">
        <v>7</v>
      </c>
      <c r="F163" s="29">
        <v>29850000</v>
      </c>
      <c r="G163" s="29">
        <v>0</v>
      </c>
      <c r="H163" s="29">
        <v>0</v>
      </c>
      <c r="I163" s="56">
        <v>0</v>
      </c>
    </row>
    <row r="164" spans="1:9" x14ac:dyDescent="0.65">
      <c r="A164" s="23">
        <v>6122</v>
      </c>
      <c r="B164" s="24" t="s">
        <v>271</v>
      </c>
      <c r="C164" s="45">
        <v>487</v>
      </c>
      <c r="D164" s="45">
        <v>1404</v>
      </c>
      <c r="E164" s="45">
        <v>7</v>
      </c>
      <c r="F164" s="29">
        <v>19900000</v>
      </c>
      <c r="G164" s="29">
        <v>0</v>
      </c>
      <c r="H164" s="29">
        <v>0</v>
      </c>
      <c r="I164" s="56">
        <v>0</v>
      </c>
    </row>
    <row r="165" spans="1:9" x14ac:dyDescent="0.65">
      <c r="A165" s="23">
        <v>6123</v>
      </c>
      <c r="B165" s="24" t="s">
        <v>264</v>
      </c>
      <c r="C165" s="45">
        <v>484</v>
      </c>
      <c r="D165" s="45">
        <v>1404</v>
      </c>
      <c r="E165" s="45">
        <v>7</v>
      </c>
      <c r="F165" s="29">
        <v>19900000</v>
      </c>
      <c r="G165" s="29">
        <v>0</v>
      </c>
      <c r="H165" s="29">
        <v>0</v>
      </c>
      <c r="I165" s="56">
        <v>0</v>
      </c>
    </row>
    <row r="166" spans="1:9" x14ac:dyDescent="0.65">
      <c r="A166" s="23">
        <v>6125</v>
      </c>
      <c r="B166" s="24" t="s">
        <v>272</v>
      </c>
      <c r="C166" s="45">
        <v>457</v>
      </c>
      <c r="D166" s="45">
        <v>1404</v>
      </c>
      <c r="E166" s="45">
        <v>7</v>
      </c>
      <c r="F166" s="29">
        <v>9950000</v>
      </c>
      <c r="G166" s="29">
        <v>0</v>
      </c>
      <c r="H166" s="29">
        <v>0</v>
      </c>
      <c r="I166" s="56">
        <v>0</v>
      </c>
    </row>
    <row r="167" spans="1:9" x14ac:dyDescent="0.65">
      <c r="A167" s="23">
        <v>6133</v>
      </c>
      <c r="B167" s="24" t="s">
        <v>265</v>
      </c>
      <c r="C167" s="45">
        <v>501</v>
      </c>
      <c r="D167" s="45">
        <v>1404</v>
      </c>
      <c r="E167" s="45">
        <v>7</v>
      </c>
      <c r="F167" s="29">
        <v>49750000</v>
      </c>
      <c r="G167" s="29">
        <v>330000000</v>
      </c>
      <c r="H167" s="29">
        <v>0</v>
      </c>
      <c r="I167" s="56">
        <v>0</v>
      </c>
    </row>
    <row r="168" spans="1:9" x14ac:dyDescent="0.65">
      <c r="A168" s="23">
        <v>6136</v>
      </c>
      <c r="B168" s="24" t="s">
        <v>266</v>
      </c>
      <c r="C168" s="45">
        <v>506</v>
      </c>
      <c r="D168" s="45">
        <v>1404</v>
      </c>
      <c r="E168" s="45">
        <v>7</v>
      </c>
      <c r="F168" s="29">
        <v>29850000</v>
      </c>
      <c r="G168" s="29">
        <v>0</v>
      </c>
      <c r="H168" s="29">
        <v>0</v>
      </c>
      <c r="I168" s="56">
        <v>0</v>
      </c>
    </row>
    <row r="169" spans="1:9" x14ac:dyDescent="0.65">
      <c r="A169" s="23">
        <v>6139</v>
      </c>
      <c r="B169" s="24" t="s">
        <v>273</v>
      </c>
      <c r="C169" s="45">
        <v>505</v>
      </c>
      <c r="D169" s="45">
        <v>1404</v>
      </c>
      <c r="E169" s="45">
        <v>7</v>
      </c>
      <c r="F169" s="29">
        <v>19900000</v>
      </c>
      <c r="G169" s="29">
        <v>0</v>
      </c>
      <c r="H169" s="29">
        <v>0</v>
      </c>
      <c r="I169" s="56">
        <v>0</v>
      </c>
    </row>
    <row r="170" spans="1:9" x14ac:dyDescent="0.65">
      <c r="A170" s="23">
        <v>6143</v>
      </c>
      <c r="B170" s="24" t="s">
        <v>274</v>
      </c>
      <c r="C170" s="45">
        <v>508</v>
      </c>
      <c r="D170" s="45">
        <v>1404</v>
      </c>
      <c r="E170" s="45">
        <v>7</v>
      </c>
      <c r="F170" s="29">
        <v>19900000</v>
      </c>
      <c r="G170" s="29">
        <v>0</v>
      </c>
      <c r="H170" s="29">
        <v>0</v>
      </c>
      <c r="I170" s="56">
        <v>0</v>
      </c>
    </row>
    <row r="171" spans="1:9" x14ac:dyDescent="0.65">
      <c r="A171" s="23">
        <v>6144</v>
      </c>
      <c r="B171" s="24" t="s">
        <v>275</v>
      </c>
      <c r="C171" s="45">
        <v>517</v>
      </c>
      <c r="D171" s="45">
        <v>1404</v>
      </c>
      <c r="E171" s="45">
        <v>7</v>
      </c>
      <c r="F171" s="29">
        <v>19900000</v>
      </c>
      <c r="G171" s="29">
        <v>0</v>
      </c>
      <c r="H171" s="29">
        <v>0</v>
      </c>
      <c r="I171" s="56">
        <v>0</v>
      </c>
    </row>
    <row r="172" spans="1:9" x14ac:dyDescent="0.65">
      <c r="A172" s="23">
        <v>6145</v>
      </c>
      <c r="B172" s="24" t="s">
        <v>276</v>
      </c>
      <c r="C172" s="45">
        <v>496</v>
      </c>
      <c r="D172" s="45">
        <v>1404</v>
      </c>
      <c r="E172" s="45">
        <v>7</v>
      </c>
      <c r="F172" s="29">
        <v>19900000</v>
      </c>
      <c r="G172" s="29">
        <v>0</v>
      </c>
      <c r="H172" s="29">
        <v>0</v>
      </c>
      <c r="I172" s="56">
        <v>0</v>
      </c>
    </row>
    <row r="173" spans="1:9" x14ac:dyDescent="0.65">
      <c r="A173" s="23">
        <v>6148</v>
      </c>
      <c r="B173" s="24" t="s">
        <v>277</v>
      </c>
      <c r="C173" s="45">
        <v>520</v>
      </c>
      <c r="D173" s="45">
        <v>1404</v>
      </c>
      <c r="E173" s="45">
        <v>7</v>
      </c>
      <c r="F173" s="29">
        <v>29850000</v>
      </c>
      <c r="G173" s="29">
        <v>0</v>
      </c>
      <c r="H173" s="29">
        <v>0</v>
      </c>
      <c r="I173" s="56">
        <v>0</v>
      </c>
    </row>
    <row r="174" spans="1:9" x14ac:dyDescent="0.65">
      <c r="A174" s="23">
        <v>6149</v>
      </c>
      <c r="B174" s="24" t="s">
        <v>278</v>
      </c>
      <c r="C174" s="45">
        <v>512</v>
      </c>
      <c r="D174" s="45">
        <v>1404</v>
      </c>
      <c r="E174" s="45">
        <v>7</v>
      </c>
      <c r="F174" s="29">
        <v>9950000</v>
      </c>
      <c r="G174" s="29">
        <v>0</v>
      </c>
      <c r="H174" s="29">
        <v>0</v>
      </c>
      <c r="I174" s="56">
        <v>0</v>
      </c>
    </row>
    <row r="175" spans="1:9" x14ac:dyDescent="0.65">
      <c r="A175" s="23">
        <v>6150</v>
      </c>
      <c r="B175" s="24" t="s">
        <v>279</v>
      </c>
      <c r="C175" s="45">
        <v>518</v>
      </c>
      <c r="D175" s="45">
        <v>1404</v>
      </c>
      <c r="E175" s="45">
        <v>7</v>
      </c>
      <c r="F175" s="29">
        <v>9950000</v>
      </c>
      <c r="G175" s="29">
        <v>0</v>
      </c>
      <c r="H175" s="29">
        <v>0</v>
      </c>
      <c r="I175" s="56">
        <v>0</v>
      </c>
    </row>
    <row r="176" spans="1:9" x14ac:dyDescent="0.65">
      <c r="A176" s="23">
        <v>6154</v>
      </c>
      <c r="B176" s="24" t="s">
        <v>280</v>
      </c>
      <c r="C176" s="45">
        <v>515</v>
      </c>
      <c r="D176" s="45">
        <v>1404</v>
      </c>
      <c r="E176" s="45">
        <v>7</v>
      </c>
      <c r="F176" s="29">
        <v>39800000</v>
      </c>
      <c r="G176" s="29">
        <v>0</v>
      </c>
      <c r="H176" s="29">
        <v>0</v>
      </c>
      <c r="I176" s="56">
        <v>0</v>
      </c>
    </row>
    <row r="177" spans="1:9" x14ac:dyDescent="0.65">
      <c r="A177" s="23">
        <v>6155</v>
      </c>
      <c r="B177" s="24" t="s">
        <v>281</v>
      </c>
      <c r="C177" s="45">
        <v>516</v>
      </c>
      <c r="D177" s="45">
        <v>1404</v>
      </c>
      <c r="E177" s="45">
        <v>7</v>
      </c>
      <c r="F177" s="29">
        <v>19900000</v>
      </c>
      <c r="G177" s="29">
        <v>0</v>
      </c>
      <c r="H177" s="29">
        <v>0</v>
      </c>
      <c r="I177" s="56">
        <v>0</v>
      </c>
    </row>
    <row r="178" spans="1:9" x14ac:dyDescent="0.65">
      <c r="A178" s="23">
        <v>6167</v>
      </c>
      <c r="B178" s="24" t="s">
        <v>282</v>
      </c>
      <c r="C178" s="45">
        <v>537</v>
      </c>
      <c r="D178" s="45">
        <v>1404</v>
      </c>
      <c r="E178" s="45">
        <v>7</v>
      </c>
      <c r="F178" s="29">
        <v>0</v>
      </c>
      <c r="G178" s="29">
        <v>33333333</v>
      </c>
      <c r="H178" s="29">
        <v>0</v>
      </c>
      <c r="I178" s="56">
        <v>0</v>
      </c>
    </row>
    <row r="179" spans="1:9" x14ac:dyDescent="0.65">
      <c r="A179" s="23">
        <v>6447</v>
      </c>
      <c r="B179" s="24" t="s">
        <v>204</v>
      </c>
      <c r="C179" s="45">
        <v>91</v>
      </c>
      <c r="D179" s="45">
        <v>1404</v>
      </c>
      <c r="E179" s="45">
        <v>7</v>
      </c>
      <c r="F179" s="29">
        <v>29850000</v>
      </c>
      <c r="G179" s="29">
        <v>0</v>
      </c>
      <c r="H179" s="29">
        <v>0</v>
      </c>
      <c r="I179" s="56">
        <v>0</v>
      </c>
    </row>
    <row r="180" spans="1:9" x14ac:dyDescent="0.65">
      <c r="A180" s="23">
        <v>9015</v>
      </c>
      <c r="B180" s="24" t="s">
        <v>205</v>
      </c>
      <c r="C180" s="45">
        <v>4</v>
      </c>
      <c r="D180" s="45">
        <v>1404</v>
      </c>
      <c r="E180" s="45">
        <v>7</v>
      </c>
      <c r="F180" s="29">
        <v>9950000</v>
      </c>
      <c r="G180" s="29">
        <v>0</v>
      </c>
      <c r="H180" s="29">
        <v>0</v>
      </c>
      <c r="I180" s="56">
        <v>0</v>
      </c>
    </row>
    <row r="181" spans="1:9" x14ac:dyDescent="0.65">
      <c r="F181" s="2">
        <v>0</v>
      </c>
      <c r="G181" s="2">
        <v>0</v>
      </c>
      <c r="H181" s="2">
        <v>0</v>
      </c>
      <c r="I181" s="57">
        <v>0</v>
      </c>
    </row>
    <row r="182" spans="1:9" x14ac:dyDescent="0.65">
      <c r="F182" s="2">
        <v>0</v>
      </c>
      <c r="G182" s="2">
        <v>0</v>
      </c>
      <c r="H182" s="2">
        <v>0</v>
      </c>
      <c r="I182" s="57">
        <v>0</v>
      </c>
    </row>
    <row r="183" spans="1:9" x14ac:dyDescent="0.65">
      <c r="F183" s="2">
        <v>0</v>
      </c>
      <c r="G183" s="2">
        <v>0</v>
      </c>
      <c r="H183" s="2">
        <v>0</v>
      </c>
      <c r="I183" s="57">
        <v>0</v>
      </c>
    </row>
    <row r="184" spans="1:9" x14ac:dyDescent="0.65">
      <c r="F184" s="2">
        <v>0</v>
      </c>
      <c r="G184" s="2">
        <v>0</v>
      </c>
      <c r="H184" s="2">
        <v>0</v>
      </c>
      <c r="I184" s="57">
        <v>0</v>
      </c>
    </row>
    <row r="185" spans="1:9" x14ac:dyDescent="0.65">
      <c r="F185" s="2">
        <v>0</v>
      </c>
      <c r="G185" s="2">
        <v>0</v>
      </c>
      <c r="H185" s="2">
        <v>0</v>
      </c>
      <c r="I185" s="57">
        <v>0</v>
      </c>
    </row>
    <row r="186" spans="1:9" x14ac:dyDescent="0.65">
      <c r="F186" s="2">
        <v>0</v>
      </c>
      <c r="G186" s="2">
        <v>0</v>
      </c>
      <c r="H186" s="2">
        <v>0</v>
      </c>
      <c r="I186" s="57">
        <v>0</v>
      </c>
    </row>
    <row r="187" spans="1:9" x14ac:dyDescent="0.65">
      <c r="F187" s="2">
        <v>0</v>
      </c>
      <c r="G187" s="2">
        <v>0</v>
      </c>
      <c r="H187" s="2">
        <v>0</v>
      </c>
      <c r="I187" s="57">
        <v>0</v>
      </c>
    </row>
    <row r="188" spans="1:9" x14ac:dyDescent="0.65">
      <c r="F188" s="2">
        <v>0</v>
      </c>
      <c r="G188" s="2">
        <v>0</v>
      </c>
      <c r="H188" s="2">
        <v>0</v>
      </c>
      <c r="I188" s="57">
        <v>0</v>
      </c>
    </row>
    <row r="189" spans="1:9" x14ac:dyDescent="0.65">
      <c r="F189" s="2">
        <v>0</v>
      </c>
      <c r="G189" s="2">
        <v>0</v>
      </c>
      <c r="H189" s="2">
        <v>0</v>
      </c>
      <c r="I189" s="57">
        <v>0</v>
      </c>
    </row>
    <row r="190" spans="1:9" x14ac:dyDescent="0.65">
      <c r="F190" s="2">
        <v>0</v>
      </c>
      <c r="G190" s="2">
        <v>0</v>
      </c>
      <c r="H190" s="2">
        <v>0</v>
      </c>
      <c r="I190" s="57">
        <v>0</v>
      </c>
    </row>
    <row r="191" spans="1:9" x14ac:dyDescent="0.65">
      <c r="F191" s="2">
        <v>0</v>
      </c>
      <c r="G191" s="2">
        <v>0</v>
      </c>
      <c r="H191" s="2">
        <v>0</v>
      </c>
      <c r="I191" s="57">
        <v>0</v>
      </c>
    </row>
    <row r="192" spans="1:9" x14ac:dyDescent="0.65">
      <c r="F192" s="2">
        <v>0</v>
      </c>
      <c r="G192" s="2">
        <v>0</v>
      </c>
      <c r="H192" s="2">
        <v>0</v>
      </c>
      <c r="I192" s="57">
        <v>0</v>
      </c>
    </row>
    <row r="193" spans="6:9" x14ac:dyDescent="0.65">
      <c r="F193" s="2">
        <v>0</v>
      </c>
      <c r="G193" s="2">
        <v>0</v>
      </c>
      <c r="H193" s="2">
        <v>0</v>
      </c>
      <c r="I193" s="57">
        <v>0</v>
      </c>
    </row>
    <row r="194" spans="6:9" x14ac:dyDescent="0.65">
      <c r="F194" s="2">
        <v>0</v>
      </c>
      <c r="G194" s="2">
        <v>0</v>
      </c>
      <c r="H194" s="2">
        <v>0</v>
      </c>
      <c r="I194" s="57">
        <v>0</v>
      </c>
    </row>
    <row r="195" spans="6:9" x14ac:dyDescent="0.65">
      <c r="F195" s="2">
        <v>0</v>
      </c>
      <c r="G195" s="2">
        <v>0</v>
      </c>
      <c r="H195" s="2">
        <v>0</v>
      </c>
      <c r="I195" s="57">
        <v>0</v>
      </c>
    </row>
    <row r="196" spans="6:9" x14ac:dyDescent="0.65">
      <c r="F196" s="2">
        <v>0</v>
      </c>
      <c r="G196" s="2">
        <v>0</v>
      </c>
      <c r="H196" s="2">
        <v>0</v>
      </c>
      <c r="I196" s="57">
        <v>0</v>
      </c>
    </row>
    <row r="197" spans="6:9" x14ac:dyDescent="0.65">
      <c r="F197" s="2">
        <v>0</v>
      </c>
      <c r="G197" s="2">
        <v>0</v>
      </c>
      <c r="H197" s="2">
        <v>0</v>
      </c>
      <c r="I197" s="57">
        <v>0</v>
      </c>
    </row>
    <row r="198" spans="6:9" x14ac:dyDescent="0.65">
      <c r="F198" s="2">
        <v>0</v>
      </c>
      <c r="G198" s="2">
        <v>0</v>
      </c>
      <c r="H198" s="2">
        <v>0</v>
      </c>
      <c r="I198" s="57">
        <v>0</v>
      </c>
    </row>
    <row r="199" spans="6:9" x14ac:dyDescent="0.65">
      <c r="F199" s="2">
        <v>0</v>
      </c>
      <c r="G199" s="2">
        <v>0</v>
      </c>
      <c r="H199" s="2">
        <v>0</v>
      </c>
      <c r="I199" s="57">
        <v>0</v>
      </c>
    </row>
    <row r="200" spans="6:9" x14ac:dyDescent="0.65">
      <c r="F200" s="2">
        <v>0</v>
      </c>
      <c r="G200" s="2">
        <v>0</v>
      </c>
      <c r="H200" s="2">
        <v>0</v>
      </c>
      <c r="I200" s="57">
        <v>0</v>
      </c>
    </row>
    <row r="201" spans="6:9" x14ac:dyDescent="0.65">
      <c r="F201" s="2">
        <v>0</v>
      </c>
      <c r="G201" s="2">
        <v>0</v>
      </c>
      <c r="H201" s="2">
        <v>0</v>
      </c>
      <c r="I201" s="57">
        <v>0</v>
      </c>
    </row>
    <row r="202" spans="6:9" x14ac:dyDescent="0.65">
      <c r="F202" s="2">
        <v>0</v>
      </c>
      <c r="G202" s="2">
        <v>0</v>
      </c>
      <c r="H202" s="2">
        <v>0</v>
      </c>
      <c r="I202" s="57">
        <v>0</v>
      </c>
    </row>
    <row r="203" spans="6:9" x14ac:dyDescent="0.65">
      <c r="F203" s="2">
        <v>0</v>
      </c>
      <c r="G203" s="2">
        <v>0</v>
      </c>
      <c r="H203" s="2">
        <v>0</v>
      </c>
      <c r="I203" s="57">
        <v>0</v>
      </c>
    </row>
    <row r="204" spans="6:9" x14ac:dyDescent="0.65">
      <c r="F204" s="2">
        <v>0</v>
      </c>
      <c r="G204" s="2">
        <v>0</v>
      </c>
      <c r="H204" s="2">
        <v>0</v>
      </c>
      <c r="I204" s="57">
        <v>0</v>
      </c>
    </row>
    <row r="205" spans="6:9" x14ac:dyDescent="0.65">
      <c r="F205" s="2">
        <v>0</v>
      </c>
      <c r="G205" s="2">
        <v>0</v>
      </c>
      <c r="H205" s="2">
        <v>0</v>
      </c>
      <c r="I205" s="57">
        <v>0</v>
      </c>
    </row>
    <row r="206" spans="6:9" x14ac:dyDescent="0.65">
      <c r="F206" s="2">
        <v>0</v>
      </c>
      <c r="G206" s="2">
        <v>0</v>
      </c>
      <c r="H206" s="2">
        <v>0</v>
      </c>
      <c r="I206" s="57">
        <v>0</v>
      </c>
    </row>
    <row r="207" spans="6:9" x14ac:dyDescent="0.65">
      <c r="F207" s="2">
        <v>0</v>
      </c>
      <c r="G207" s="2">
        <v>0</v>
      </c>
      <c r="H207" s="2">
        <v>0</v>
      </c>
      <c r="I207" s="57">
        <v>0</v>
      </c>
    </row>
    <row r="208" spans="6:9" x14ac:dyDescent="0.65">
      <c r="F208" s="2">
        <v>0</v>
      </c>
      <c r="G208" s="2">
        <v>0</v>
      </c>
      <c r="H208" s="2">
        <v>0</v>
      </c>
      <c r="I208" s="57">
        <v>0</v>
      </c>
    </row>
    <row r="209" spans="6:9" x14ac:dyDescent="0.65">
      <c r="F209" s="2">
        <v>0</v>
      </c>
      <c r="G209" s="2">
        <v>0</v>
      </c>
      <c r="H209" s="2">
        <v>0</v>
      </c>
      <c r="I209" s="57">
        <v>0</v>
      </c>
    </row>
    <row r="210" spans="6:9" x14ac:dyDescent="0.65">
      <c r="F210" s="2">
        <v>0</v>
      </c>
      <c r="G210" s="2">
        <v>0</v>
      </c>
      <c r="H210" s="2">
        <v>0</v>
      </c>
      <c r="I210" s="57">
        <v>0</v>
      </c>
    </row>
    <row r="211" spans="6:9" x14ac:dyDescent="0.65">
      <c r="F211" s="2">
        <v>0</v>
      </c>
      <c r="G211" s="2">
        <v>0</v>
      </c>
      <c r="H211" s="2">
        <v>0</v>
      </c>
      <c r="I211" s="57">
        <v>0</v>
      </c>
    </row>
    <row r="212" spans="6:9" x14ac:dyDescent="0.65">
      <c r="F212" s="2">
        <v>0</v>
      </c>
      <c r="G212" s="2">
        <v>0</v>
      </c>
      <c r="H212" s="2">
        <v>0</v>
      </c>
      <c r="I212" s="57">
        <v>0</v>
      </c>
    </row>
    <row r="213" spans="6:9" x14ac:dyDescent="0.65">
      <c r="F213" s="2">
        <v>0</v>
      </c>
      <c r="G213" s="2">
        <v>0</v>
      </c>
      <c r="H213" s="2">
        <v>0</v>
      </c>
      <c r="I213" s="57">
        <v>0</v>
      </c>
    </row>
    <row r="214" spans="6:9" x14ac:dyDescent="0.65">
      <c r="F214" s="2">
        <v>0</v>
      </c>
      <c r="G214" s="2">
        <v>0</v>
      </c>
      <c r="H214" s="2">
        <v>0</v>
      </c>
      <c r="I214" s="57">
        <v>0</v>
      </c>
    </row>
    <row r="215" spans="6:9" x14ac:dyDescent="0.65">
      <c r="F215" s="2">
        <v>0</v>
      </c>
      <c r="G215" s="2">
        <v>0</v>
      </c>
      <c r="H215" s="2">
        <v>0</v>
      </c>
      <c r="I215" s="57">
        <v>0</v>
      </c>
    </row>
    <row r="216" spans="6:9" x14ac:dyDescent="0.65">
      <c r="F216" s="2">
        <v>0</v>
      </c>
      <c r="G216" s="2">
        <v>0</v>
      </c>
      <c r="H216" s="2">
        <v>0</v>
      </c>
      <c r="I216" s="57">
        <v>0</v>
      </c>
    </row>
    <row r="217" spans="6:9" x14ac:dyDescent="0.65">
      <c r="F217" s="2">
        <v>0</v>
      </c>
      <c r="G217" s="2">
        <v>0</v>
      </c>
      <c r="H217" s="2">
        <v>0</v>
      </c>
      <c r="I217" s="57">
        <v>0</v>
      </c>
    </row>
    <row r="218" spans="6:9" x14ac:dyDescent="0.65">
      <c r="F218" s="2">
        <v>0</v>
      </c>
      <c r="G218" s="2">
        <v>0</v>
      </c>
      <c r="H218" s="2">
        <v>0</v>
      </c>
      <c r="I218" s="57">
        <v>0</v>
      </c>
    </row>
    <row r="219" spans="6:9" x14ac:dyDescent="0.65">
      <c r="F219" s="2">
        <v>0</v>
      </c>
      <c r="G219" s="2">
        <v>0</v>
      </c>
      <c r="H219" s="2">
        <v>0</v>
      </c>
      <c r="I219" s="57">
        <v>0</v>
      </c>
    </row>
    <row r="220" spans="6:9" x14ac:dyDescent="0.65">
      <c r="F220" s="2">
        <v>0</v>
      </c>
      <c r="G220" s="2">
        <v>0</v>
      </c>
      <c r="H220" s="2">
        <v>0</v>
      </c>
      <c r="I220" s="57">
        <v>0</v>
      </c>
    </row>
    <row r="221" spans="6:9" x14ac:dyDescent="0.65">
      <c r="F221" s="2">
        <v>0</v>
      </c>
      <c r="G221" s="2">
        <v>0</v>
      </c>
      <c r="H221" s="2">
        <v>0</v>
      </c>
      <c r="I221" s="57">
        <v>0</v>
      </c>
    </row>
    <row r="222" spans="6:9" x14ac:dyDescent="0.65">
      <c r="F222" s="2">
        <v>0</v>
      </c>
      <c r="G222" s="2">
        <v>0</v>
      </c>
      <c r="H222" s="2">
        <v>0</v>
      </c>
      <c r="I222" s="57">
        <v>0</v>
      </c>
    </row>
    <row r="223" spans="6:9" x14ac:dyDescent="0.65">
      <c r="F223" s="2">
        <v>0</v>
      </c>
      <c r="G223" s="2">
        <v>0</v>
      </c>
      <c r="H223" s="2">
        <v>0</v>
      </c>
      <c r="I223" s="57">
        <v>0</v>
      </c>
    </row>
    <row r="224" spans="6:9" x14ac:dyDescent="0.65">
      <c r="F224" s="2">
        <v>0</v>
      </c>
      <c r="G224" s="2">
        <v>0</v>
      </c>
      <c r="H224" s="2">
        <v>0</v>
      </c>
      <c r="I224" s="57">
        <v>0</v>
      </c>
    </row>
    <row r="225" spans="6:9" x14ac:dyDescent="0.65">
      <c r="F225" s="2">
        <v>0</v>
      </c>
      <c r="G225" s="2">
        <v>0</v>
      </c>
      <c r="H225" s="2">
        <v>0</v>
      </c>
      <c r="I225" s="57">
        <v>0</v>
      </c>
    </row>
    <row r="226" spans="6:9" x14ac:dyDescent="0.65">
      <c r="F226" s="2">
        <v>0</v>
      </c>
      <c r="G226" s="2">
        <v>0</v>
      </c>
      <c r="H226" s="2">
        <v>0</v>
      </c>
      <c r="I226" s="57">
        <v>0</v>
      </c>
    </row>
    <row r="227" spans="6:9" x14ac:dyDescent="0.65">
      <c r="F227" s="2">
        <v>0</v>
      </c>
      <c r="G227" s="2">
        <v>0</v>
      </c>
      <c r="H227" s="2">
        <v>0</v>
      </c>
      <c r="I227" s="57">
        <v>0</v>
      </c>
    </row>
    <row r="228" spans="6:9" x14ac:dyDescent="0.65">
      <c r="F228" s="2">
        <v>0</v>
      </c>
      <c r="G228" s="2">
        <v>0</v>
      </c>
      <c r="H228" s="2">
        <v>0</v>
      </c>
      <c r="I228" s="57">
        <v>0</v>
      </c>
    </row>
    <row r="229" spans="6:9" x14ac:dyDescent="0.65">
      <c r="F229" s="2">
        <v>0</v>
      </c>
      <c r="G229" s="2">
        <v>0</v>
      </c>
      <c r="H229" s="2">
        <v>0</v>
      </c>
      <c r="I229" s="57">
        <v>0</v>
      </c>
    </row>
    <row r="230" spans="6:9" x14ac:dyDescent="0.65">
      <c r="F230" s="2">
        <v>0</v>
      </c>
      <c r="G230" s="2">
        <v>0</v>
      </c>
      <c r="H230" s="2">
        <v>0</v>
      </c>
      <c r="I230" s="57">
        <v>0</v>
      </c>
    </row>
    <row r="231" spans="6:9" x14ac:dyDescent="0.65">
      <c r="F231" s="2">
        <v>0</v>
      </c>
      <c r="G231" s="2">
        <v>0</v>
      </c>
      <c r="H231" s="2">
        <v>0</v>
      </c>
      <c r="I231" s="57">
        <v>0</v>
      </c>
    </row>
    <row r="232" spans="6:9" x14ac:dyDescent="0.65">
      <c r="F232" s="2">
        <v>0</v>
      </c>
      <c r="G232" s="2">
        <v>0</v>
      </c>
      <c r="H232" s="2">
        <v>0</v>
      </c>
      <c r="I232" s="57">
        <v>0</v>
      </c>
    </row>
    <row r="233" spans="6:9" x14ac:dyDescent="0.65">
      <c r="F233" s="2">
        <v>0</v>
      </c>
      <c r="G233" s="2">
        <v>0</v>
      </c>
      <c r="H233" s="2">
        <v>0</v>
      </c>
      <c r="I233" s="57">
        <v>0</v>
      </c>
    </row>
    <row r="234" spans="6:9" x14ac:dyDescent="0.65">
      <c r="F234" s="2">
        <v>0</v>
      </c>
      <c r="G234" s="2">
        <v>0</v>
      </c>
      <c r="H234" s="2">
        <v>0</v>
      </c>
      <c r="I234" s="57">
        <v>0</v>
      </c>
    </row>
    <row r="235" spans="6:9" x14ac:dyDescent="0.65">
      <c r="F235" s="2">
        <v>0</v>
      </c>
      <c r="G235" s="2">
        <v>0</v>
      </c>
      <c r="H235" s="2">
        <v>0</v>
      </c>
      <c r="I235" s="57">
        <v>0</v>
      </c>
    </row>
    <row r="236" spans="6:9" x14ac:dyDescent="0.65">
      <c r="F236" s="2">
        <v>0</v>
      </c>
      <c r="G236" s="2">
        <v>0</v>
      </c>
      <c r="H236" s="2">
        <v>0</v>
      </c>
      <c r="I236" s="57">
        <v>0</v>
      </c>
    </row>
    <row r="237" spans="6:9" x14ac:dyDescent="0.65">
      <c r="F237" s="2">
        <v>0</v>
      </c>
      <c r="G237" s="2">
        <v>0</v>
      </c>
      <c r="H237" s="2">
        <v>0</v>
      </c>
      <c r="I237" s="57">
        <v>0</v>
      </c>
    </row>
    <row r="238" spans="6:9" x14ac:dyDescent="0.65">
      <c r="F238" s="2">
        <v>0</v>
      </c>
      <c r="G238" s="2">
        <v>0</v>
      </c>
      <c r="H238" s="2">
        <v>0</v>
      </c>
      <c r="I238" s="57">
        <v>0</v>
      </c>
    </row>
    <row r="239" spans="6:9" x14ac:dyDescent="0.65">
      <c r="F239" s="2">
        <v>0</v>
      </c>
      <c r="G239" s="2">
        <v>0</v>
      </c>
      <c r="H239" s="2">
        <v>0</v>
      </c>
      <c r="I239" s="57">
        <v>0</v>
      </c>
    </row>
    <row r="240" spans="6:9" x14ac:dyDescent="0.65">
      <c r="F240" s="2">
        <v>0</v>
      </c>
      <c r="G240" s="2">
        <v>0</v>
      </c>
      <c r="H240" s="2">
        <v>0</v>
      </c>
      <c r="I240" s="57">
        <v>0</v>
      </c>
    </row>
    <row r="241" spans="6:9" x14ac:dyDescent="0.65">
      <c r="F241" s="2">
        <v>0</v>
      </c>
      <c r="G241" s="2">
        <v>0</v>
      </c>
      <c r="H241" s="2">
        <v>0</v>
      </c>
      <c r="I241" s="57">
        <v>0</v>
      </c>
    </row>
    <row r="242" spans="6:9" x14ac:dyDescent="0.65">
      <c r="F242" s="2">
        <v>0</v>
      </c>
      <c r="G242" s="2">
        <v>0</v>
      </c>
      <c r="H242" s="2">
        <v>0</v>
      </c>
      <c r="I242" s="57">
        <v>0</v>
      </c>
    </row>
    <row r="243" spans="6:9" x14ac:dyDescent="0.65">
      <c r="F243" s="2">
        <v>0</v>
      </c>
      <c r="G243" s="2">
        <v>0</v>
      </c>
      <c r="H243" s="2">
        <v>0</v>
      </c>
      <c r="I243" s="57">
        <v>0</v>
      </c>
    </row>
    <row r="244" spans="6:9" x14ac:dyDescent="0.65">
      <c r="F244" s="2">
        <v>0</v>
      </c>
      <c r="G244" s="2">
        <v>0</v>
      </c>
      <c r="H244" s="2">
        <v>0</v>
      </c>
      <c r="I244" s="57">
        <v>0</v>
      </c>
    </row>
    <row r="245" spans="6:9" x14ac:dyDescent="0.65">
      <c r="F245" s="2">
        <v>0</v>
      </c>
      <c r="G245" s="2">
        <v>0</v>
      </c>
      <c r="H245" s="2">
        <v>0</v>
      </c>
      <c r="I245" s="57">
        <v>0</v>
      </c>
    </row>
    <row r="246" spans="6:9" x14ac:dyDescent="0.65">
      <c r="F246" s="2">
        <v>0</v>
      </c>
      <c r="G246" s="2">
        <v>0</v>
      </c>
      <c r="H246" s="2">
        <v>0</v>
      </c>
      <c r="I246" s="57">
        <v>0</v>
      </c>
    </row>
    <row r="247" spans="6:9" x14ac:dyDescent="0.65">
      <c r="F247" s="2">
        <v>0</v>
      </c>
      <c r="G247" s="2">
        <v>0</v>
      </c>
      <c r="H247" s="2">
        <v>0</v>
      </c>
      <c r="I247" s="57">
        <v>0</v>
      </c>
    </row>
    <row r="248" spans="6:9" x14ac:dyDescent="0.65">
      <c r="F248" s="2">
        <v>0</v>
      </c>
      <c r="G248" s="2">
        <v>0</v>
      </c>
      <c r="H248" s="2">
        <v>0</v>
      </c>
      <c r="I248" s="57">
        <v>0</v>
      </c>
    </row>
    <row r="249" spans="6:9" x14ac:dyDescent="0.65">
      <c r="F249" s="2">
        <v>0</v>
      </c>
      <c r="G249" s="2">
        <v>0</v>
      </c>
      <c r="H249" s="2">
        <v>0</v>
      </c>
      <c r="I249" s="57">
        <v>0</v>
      </c>
    </row>
    <row r="250" spans="6:9" x14ac:dyDescent="0.65">
      <c r="F250" s="2">
        <v>0</v>
      </c>
      <c r="G250" s="2">
        <v>0</v>
      </c>
      <c r="H250" s="2">
        <v>0</v>
      </c>
      <c r="I250" s="57">
        <v>0</v>
      </c>
    </row>
    <row r="251" spans="6:9" x14ac:dyDescent="0.65">
      <c r="F251" s="2">
        <v>0</v>
      </c>
      <c r="G251" s="2">
        <v>0</v>
      </c>
      <c r="H251" s="2">
        <v>0</v>
      </c>
      <c r="I251" s="57">
        <v>0</v>
      </c>
    </row>
  </sheetData>
  <autoFilter ref="A1:I251" xr:uid="{E0DC9B13-4A32-49FA-B666-2FA04F448810}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333-5859-4155-AB0C-48B51002A1DE}">
  <dimension ref="A1:K187"/>
  <sheetViews>
    <sheetView rightToLeft="1" workbookViewId="0">
      <selection sqref="A1:XFD1"/>
    </sheetView>
  </sheetViews>
  <sheetFormatPr defaultRowHeight="15" x14ac:dyDescent="0.25"/>
  <cols>
    <col min="1" max="1" width="7.75" bestFit="1" customWidth="1"/>
    <col min="2" max="2" width="23.75" bestFit="1" customWidth="1"/>
    <col min="3" max="3" width="10.875" style="60" customWidth="1"/>
    <col min="4" max="4" width="4.875" style="60" bestFit="1" customWidth="1"/>
    <col min="5" max="5" width="2.625" style="60" bestFit="1" customWidth="1"/>
    <col min="6" max="6" width="12.5" style="61" bestFit="1" customWidth="1"/>
    <col min="7" max="7" width="10.875" style="61" bestFit="1" customWidth="1"/>
    <col min="8" max="8" width="15.375" style="61" bestFit="1" customWidth="1"/>
    <col min="9" max="9" width="9.875" style="61" bestFit="1" customWidth="1"/>
    <col min="11" max="11" width="9.875" bestFit="1" customWidth="1"/>
  </cols>
  <sheetData>
    <row r="1" spans="1:9" s="21" customFormat="1" ht="22.5" x14ac:dyDescent="0.65">
      <c r="A1" s="24" t="s">
        <v>0</v>
      </c>
      <c r="B1" s="24" t="s">
        <v>1</v>
      </c>
      <c r="C1" s="41" t="s">
        <v>248</v>
      </c>
      <c r="D1" s="41" t="s">
        <v>283</v>
      </c>
      <c r="E1" s="41" t="s">
        <v>206</v>
      </c>
      <c r="F1" s="29" t="s">
        <v>209</v>
      </c>
      <c r="G1" s="29" t="s">
        <v>207</v>
      </c>
      <c r="H1" s="29" t="s">
        <v>208</v>
      </c>
      <c r="I1" s="58" t="s">
        <v>247</v>
      </c>
    </row>
    <row r="2" spans="1:9" x14ac:dyDescent="0.25">
      <c r="A2" s="62">
        <v>3567</v>
      </c>
      <c r="B2" s="62" t="s">
        <v>3</v>
      </c>
      <c r="C2" s="63">
        <f>VLOOKUP(A2,مهر!A:C,3,0)</f>
        <v>57</v>
      </c>
      <c r="D2" s="63">
        <v>1404</v>
      </c>
      <c r="E2" s="63">
        <v>8</v>
      </c>
      <c r="F2" s="64">
        <v>19900000</v>
      </c>
      <c r="G2" s="64">
        <v>40000000</v>
      </c>
      <c r="H2" s="64">
        <v>0</v>
      </c>
      <c r="I2" s="64">
        <v>1500000</v>
      </c>
    </row>
    <row r="3" spans="1:9" x14ac:dyDescent="0.25">
      <c r="A3" s="62">
        <v>3607</v>
      </c>
      <c r="B3" s="62" t="s">
        <v>4</v>
      </c>
      <c r="C3" s="63">
        <f>VLOOKUP(A3,مهر!A:C,3,0)</f>
        <v>119</v>
      </c>
      <c r="D3" s="63">
        <v>1404</v>
      </c>
      <c r="E3" s="63">
        <v>8</v>
      </c>
      <c r="F3" s="64">
        <v>49750000</v>
      </c>
      <c r="G3" s="64">
        <v>30000000</v>
      </c>
      <c r="H3" s="64">
        <v>0</v>
      </c>
      <c r="I3" s="64">
        <v>0</v>
      </c>
    </row>
    <row r="4" spans="1:9" x14ac:dyDescent="0.25">
      <c r="A4" s="62">
        <v>3653</v>
      </c>
      <c r="B4" s="62" t="s">
        <v>5</v>
      </c>
      <c r="C4" s="63">
        <f>VLOOKUP(A4,مهر!A:C,3,0)</f>
        <v>34</v>
      </c>
      <c r="D4" s="63">
        <v>1404</v>
      </c>
      <c r="E4" s="63">
        <v>8</v>
      </c>
      <c r="F4" s="64">
        <v>49750000</v>
      </c>
      <c r="G4" s="64">
        <v>0</v>
      </c>
      <c r="H4" s="64">
        <v>0</v>
      </c>
      <c r="I4" s="64">
        <v>6688000</v>
      </c>
    </row>
    <row r="5" spans="1:9" x14ac:dyDescent="0.25">
      <c r="A5" s="62">
        <v>4590</v>
      </c>
      <c r="B5" s="62" t="s">
        <v>6</v>
      </c>
      <c r="C5" s="63">
        <f>VLOOKUP(A5,مهر!A:C,3,0)</f>
        <v>30</v>
      </c>
      <c r="D5" s="63">
        <v>1404</v>
      </c>
      <c r="E5" s="63">
        <v>8</v>
      </c>
      <c r="F5" s="64">
        <v>0</v>
      </c>
      <c r="G5" s="64">
        <v>40000000</v>
      </c>
      <c r="H5" s="64">
        <v>0</v>
      </c>
      <c r="I5" s="64">
        <v>0</v>
      </c>
    </row>
    <row r="6" spans="1:9" x14ac:dyDescent="0.25">
      <c r="A6" s="62">
        <v>4597</v>
      </c>
      <c r="B6" s="62" t="s">
        <v>7</v>
      </c>
      <c r="C6" s="63">
        <f>VLOOKUP(A6,مهر!A:C,3,0)</f>
        <v>38</v>
      </c>
      <c r="D6" s="63">
        <v>1404</v>
      </c>
      <c r="E6" s="63">
        <v>8</v>
      </c>
      <c r="F6" s="64">
        <v>39800000</v>
      </c>
      <c r="G6" s="64">
        <v>60000000</v>
      </c>
      <c r="H6" s="64">
        <v>0</v>
      </c>
      <c r="I6" s="64">
        <v>0</v>
      </c>
    </row>
    <row r="7" spans="1:9" x14ac:dyDescent="0.25">
      <c r="A7" s="62">
        <v>4598</v>
      </c>
      <c r="B7" s="62" t="s">
        <v>8</v>
      </c>
      <c r="C7" s="63">
        <f>VLOOKUP(A7,مهر!A:C,3,0)</f>
        <v>129</v>
      </c>
      <c r="D7" s="63">
        <v>1404</v>
      </c>
      <c r="E7" s="63">
        <v>8</v>
      </c>
      <c r="F7" s="64">
        <v>39800000</v>
      </c>
      <c r="G7" s="64">
        <v>0</v>
      </c>
      <c r="H7" s="64">
        <v>0</v>
      </c>
      <c r="I7" s="64">
        <v>0</v>
      </c>
    </row>
    <row r="8" spans="1:9" x14ac:dyDescent="0.25">
      <c r="A8" s="62">
        <v>4614</v>
      </c>
      <c r="B8" s="62" t="s">
        <v>9</v>
      </c>
      <c r="C8" s="63">
        <f>VLOOKUP(A8,مهر!A:C,3,0)</f>
        <v>140</v>
      </c>
      <c r="D8" s="63">
        <v>1404</v>
      </c>
      <c r="E8" s="63">
        <v>8</v>
      </c>
      <c r="F8" s="64">
        <v>9950000</v>
      </c>
      <c r="G8" s="64">
        <v>0</v>
      </c>
      <c r="H8" s="64">
        <v>0</v>
      </c>
      <c r="I8" s="64">
        <v>3000000</v>
      </c>
    </row>
    <row r="9" spans="1:9" x14ac:dyDescent="0.25">
      <c r="A9" s="62">
        <v>4622</v>
      </c>
      <c r="B9" s="62" t="s">
        <v>11</v>
      </c>
      <c r="C9" s="63">
        <f>VLOOKUP(A9,مهر!A:C,3,0)</f>
        <v>35</v>
      </c>
      <c r="D9" s="63">
        <v>1404</v>
      </c>
      <c r="E9" s="63">
        <v>8</v>
      </c>
      <c r="F9" s="64">
        <v>39800000</v>
      </c>
      <c r="G9" s="64">
        <v>30000000</v>
      </c>
      <c r="H9" s="64">
        <v>0</v>
      </c>
      <c r="I9" s="64">
        <v>0</v>
      </c>
    </row>
    <row r="10" spans="1:9" x14ac:dyDescent="0.25">
      <c r="A10" s="62">
        <v>4636</v>
      </c>
      <c r="B10" s="62" t="s">
        <v>12</v>
      </c>
      <c r="C10" s="63">
        <f>VLOOKUP(A10,مهر!A:C,3,0)</f>
        <v>62</v>
      </c>
      <c r="D10" s="63">
        <v>1404</v>
      </c>
      <c r="E10" s="63">
        <v>8</v>
      </c>
      <c r="F10" s="64">
        <v>59700000</v>
      </c>
      <c r="G10" s="64">
        <v>100000000</v>
      </c>
      <c r="H10" s="64">
        <v>0</v>
      </c>
      <c r="I10" s="64">
        <v>0</v>
      </c>
    </row>
    <row r="11" spans="1:9" x14ac:dyDescent="0.25">
      <c r="A11" s="62">
        <v>4648</v>
      </c>
      <c r="B11" s="62" t="s">
        <v>15</v>
      </c>
      <c r="C11" s="63">
        <f>VLOOKUP(A11,مهر!A:C,3,0)</f>
        <v>160</v>
      </c>
      <c r="D11" s="63">
        <v>1404</v>
      </c>
      <c r="E11" s="63">
        <v>8</v>
      </c>
      <c r="F11" s="64">
        <v>29850000</v>
      </c>
      <c r="G11" s="64">
        <v>0</v>
      </c>
      <c r="H11" s="64">
        <v>0</v>
      </c>
      <c r="I11" s="64">
        <v>0</v>
      </c>
    </row>
    <row r="12" spans="1:9" x14ac:dyDescent="0.25">
      <c r="A12" s="62">
        <v>4651</v>
      </c>
      <c r="B12" s="62" t="s">
        <v>16</v>
      </c>
      <c r="C12" s="63">
        <f>VLOOKUP(A12,مهر!A:C,3,0)</f>
        <v>52</v>
      </c>
      <c r="D12" s="63">
        <v>1404</v>
      </c>
      <c r="E12" s="63">
        <v>8</v>
      </c>
      <c r="F12" s="64">
        <v>69650000</v>
      </c>
      <c r="G12" s="64">
        <v>30000000</v>
      </c>
      <c r="H12" s="64">
        <v>0</v>
      </c>
      <c r="I12" s="64">
        <v>4464000</v>
      </c>
    </row>
    <row r="13" spans="1:9" x14ac:dyDescent="0.25">
      <c r="A13" s="62">
        <v>4654</v>
      </c>
      <c r="B13" s="62" t="s">
        <v>18</v>
      </c>
      <c r="C13" s="63">
        <f>VLOOKUP(A13,مهر!A:C,3,0)</f>
        <v>85</v>
      </c>
      <c r="D13" s="63">
        <v>1404</v>
      </c>
      <c r="E13" s="63">
        <v>8</v>
      </c>
      <c r="F13" s="64">
        <v>39800000</v>
      </c>
      <c r="G13" s="64">
        <v>40000000</v>
      </c>
      <c r="H13" s="64">
        <v>0</v>
      </c>
      <c r="I13" s="64">
        <v>945000</v>
      </c>
    </row>
    <row r="14" spans="1:9" x14ac:dyDescent="0.25">
      <c r="A14" s="62">
        <v>4655</v>
      </c>
      <c r="B14" s="62" t="s">
        <v>19</v>
      </c>
      <c r="C14" s="63">
        <f>VLOOKUP(A14,مهر!A:C,3,0)</f>
        <v>122</v>
      </c>
      <c r="D14" s="63">
        <v>1404</v>
      </c>
      <c r="E14" s="63">
        <v>8</v>
      </c>
      <c r="F14" s="64">
        <v>0</v>
      </c>
      <c r="G14" s="64">
        <v>30000000</v>
      </c>
      <c r="H14" s="64">
        <v>0</v>
      </c>
      <c r="I14" s="64">
        <v>2508000</v>
      </c>
    </row>
    <row r="15" spans="1:9" x14ac:dyDescent="0.25">
      <c r="A15" s="62">
        <v>4656</v>
      </c>
      <c r="B15" s="62" t="s">
        <v>20</v>
      </c>
      <c r="C15" s="63">
        <f>VLOOKUP(A15,مهر!A:C,3,0)</f>
        <v>39</v>
      </c>
      <c r="D15" s="63">
        <v>1404</v>
      </c>
      <c r="E15" s="63">
        <v>8</v>
      </c>
      <c r="F15" s="64">
        <v>0</v>
      </c>
      <c r="G15" s="64">
        <v>90000000</v>
      </c>
      <c r="H15" s="64">
        <v>0</v>
      </c>
      <c r="I15" s="64">
        <v>3000000</v>
      </c>
    </row>
    <row r="16" spans="1:9" x14ac:dyDescent="0.25">
      <c r="A16" s="62">
        <v>4657</v>
      </c>
      <c r="B16" s="62" t="s">
        <v>21</v>
      </c>
      <c r="C16" s="63">
        <f>VLOOKUP(A16,مهر!A:C,3,0)</f>
        <v>71</v>
      </c>
      <c r="D16" s="63">
        <v>1404</v>
      </c>
      <c r="E16" s="63">
        <v>8</v>
      </c>
      <c r="F16" s="64">
        <v>39800000</v>
      </c>
      <c r="G16" s="64">
        <v>0</v>
      </c>
      <c r="H16" s="64">
        <v>0</v>
      </c>
      <c r="I16" s="64">
        <v>0</v>
      </c>
    </row>
    <row r="17" spans="1:9" x14ac:dyDescent="0.25">
      <c r="A17" s="62">
        <v>4658</v>
      </c>
      <c r="B17" s="62" t="s">
        <v>22</v>
      </c>
      <c r="C17" s="63">
        <f>VLOOKUP(A17,مهر!A:C,3,0)</f>
        <v>67</v>
      </c>
      <c r="D17" s="63">
        <v>1404</v>
      </c>
      <c r="E17" s="63">
        <v>8</v>
      </c>
      <c r="F17" s="64">
        <v>29850000</v>
      </c>
      <c r="G17" s="64">
        <v>0</v>
      </c>
      <c r="H17" s="64">
        <v>0</v>
      </c>
      <c r="I17" s="64">
        <v>0</v>
      </c>
    </row>
    <row r="18" spans="1:9" x14ac:dyDescent="0.25">
      <c r="A18" s="62">
        <v>4660</v>
      </c>
      <c r="B18" s="62" t="s">
        <v>23</v>
      </c>
      <c r="C18" s="63">
        <f>VLOOKUP(A18,مهر!A:C,3,0)</f>
        <v>72</v>
      </c>
      <c r="D18" s="63">
        <v>1404</v>
      </c>
      <c r="E18" s="63">
        <v>8</v>
      </c>
      <c r="F18" s="64">
        <v>39800000</v>
      </c>
      <c r="G18" s="64">
        <v>40000000</v>
      </c>
      <c r="H18" s="64">
        <v>0</v>
      </c>
      <c r="I18" s="64">
        <v>0</v>
      </c>
    </row>
    <row r="19" spans="1:9" x14ac:dyDescent="0.25">
      <c r="A19" s="62">
        <v>4661</v>
      </c>
      <c r="B19" s="62" t="s">
        <v>24</v>
      </c>
      <c r="C19" s="63">
        <f>VLOOKUP(A19,مهر!A:C,3,0)</f>
        <v>63</v>
      </c>
      <c r="D19" s="63">
        <v>1404</v>
      </c>
      <c r="E19" s="63">
        <v>8</v>
      </c>
      <c r="F19" s="64">
        <v>39800000</v>
      </c>
      <c r="G19" s="64">
        <v>0</v>
      </c>
      <c r="H19" s="64">
        <v>0</v>
      </c>
      <c r="I19" s="64">
        <v>703000</v>
      </c>
    </row>
    <row r="20" spans="1:9" x14ac:dyDescent="0.25">
      <c r="A20" s="62">
        <v>4663</v>
      </c>
      <c r="B20" s="62" t="s">
        <v>25</v>
      </c>
      <c r="C20" s="63">
        <f>VLOOKUP(A20,مهر!A:C,3,0)</f>
        <v>70</v>
      </c>
      <c r="D20" s="63">
        <v>1404</v>
      </c>
      <c r="E20" s="63">
        <v>8</v>
      </c>
      <c r="F20" s="64">
        <v>79600000</v>
      </c>
      <c r="G20" s="64">
        <v>60000000</v>
      </c>
      <c r="H20" s="64">
        <v>0</v>
      </c>
      <c r="I20" s="64">
        <v>0</v>
      </c>
    </row>
    <row r="21" spans="1:9" x14ac:dyDescent="0.25">
      <c r="A21" s="62">
        <v>4664</v>
      </c>
      <c r="B21" s="62" t="s">
        <v>26</v>
      </c>
      <c r="C21" s="63">
        <f>VLOOKUP(A21,مهر!A:C,3,0)</f>
        <v>65</v>
      </c>
      <c r="D21" s="63">
        <v>1404</v>
      </c>
      <c r="E21" s="63">
        <v>8</v>
      </c>
      <c r="F21" s="64">
        <v>39800000</v>
      </c>
      <c r="G21" s="64">
        <v>0</v>
      </c>
      <c r="H21" s="64">
        <v>0</v>
      </c>
      <c r="I21" s="64">
        <v>0</v>
      </c>
    </row>
    <row r="22" spans="1:9" x14ac:dyDescent="0.25">
      <c r="A22" s="62">
        <v>4665</v>
      </c>
      <c r="B22" s="62" t="s">
        <v>27</v>
      </c>
      <c r="C22" s="63">
        <f>VLOOKUP(A22,مهر!A:C,3,0)</f>
        <v>64</v>
      </c>
      <c r="D22" s="63">
        <v>1404</v>
      </c>
      <c r="E22" s="63">
        <v>8</v>
      </c>
      <c r="F22" s="64">
        <v>0</v>
      </c>
      <c r="G22" s="64">
        <v>60000000</v>
      </c>
      <c r="H22" s="64">
        <v>0</v>
      </c>
      <c r="I22" s="64">
        <v>1500000</v>
      </c>
    </row>
    <row r="23" spans="1:9" x14ac:dyDescent="0.25">
      <c r="A23" s="62">
        <v>4666</v>
      </c>
      <c r="B23" s="62" t="s">
        <v>28</v>
      </c>
      <c r="C23" s="63">
        <f>VLOOKUP(A23,مهر!A:C,3,0)</f>
        <v>69</v>
      </c>
      <c r="D23" s="63">
        <v>1404</v>
      </c>
      <c r="E23" s="63">
        <v>8</v>
      </c>
      <c r="F23" s="64">
        <v>49750000</v>
      </c>
      <c r="G23" s="64">
        <v>30000000</v>
      </c>
      <c r="H23" s="64">
        <v>0</v>
      </c>
      <c r="I23" s="64">
        <v>0</v>
      </c>
    </row>
    <row r="24" spans="1:9" x14ac:dyDescent="0.25">
      <c r="A24" s="62">
        <v>4667</v>
      </c>
      <c r="B24" s="62" t="s">
        <v>29</v>
      </c>
      <c r="C24" s="63">
        <f>VLOOKUP(A24,مهر!A:C,3,0)</f>
        <v>94</v>
      </c>
      <c r="D24" s="63">
        <v>1404</v>
      </c>
      <c r="E24" s="63">
        <v>8</v>
      </c>
      <c r="F24" s="64">
        <v>59700000</v>
      </c>
      <c r="G24" s="64">
        <v>30000000</v>
      </c>
      <c r="H24" s="64">
        <v>0</v>
      </c>
      <c r="I24" s="64">
        <v>0</v>
      </c>
    </row>
    <row r="25" spans="1:9" x14ac:dyDescent="0.25">
      <c r="A25" s="62">
        <v>4669</v>
      </c>
      <c r="B25" s="62" t="s">
        <v>31</v>
      </c>
      <c r="C25" s="63">
        <f>VLOOKUP(A25,مهر!A:C,3,0)</f>
        <v>68</v>
      </c>
      <c r="D25" s="63">
        <v>1404</v>
      </c>
      <c r="E25" s="63">
        <v>8</v>
      </c>
      <c r="F25" s="64">
        <v>69650000</v>
      </c>
      <c r="G25" s="64">
        <v>0</v>
      </c>
      <c r="H25" s="64">
        <v>0</v>
      </c>
      <c r="I25" s="64">
        <v>0</v>
      </c>
    </row>
    <row r="26" spans="1:9" x14ac:dyDescent="0.25">
      <c r="A26" s="62">
        <v>4670</v>
      </c>
      <c r="B26" s="62" t="s">
        <v>32</v>
      </c>
      <c r="C26" s="63">
        <f>VLOOKUP(A26,مهر!A:C,3,0)</f>
        <v>90</v>
      </c>
      <c r="D26" s="63">
        <v>1404</v>
      </c>
      <c r="E26" s="63">
        <v>8</v>
      </c>
      <c r="F26" s="64">
        <v>29850000</v>
      </c>
      <c r="G26" s="64">
        <v>30000000</v>
      </c>
      <c r="H26" s="64">
        <v>0</v>
      </c>
      <c r="I26" s="64">
        <v>3861000</v>
      </c>
    </row>
    <row r="27" spans="1:9" x14ac:dyDescent="0.25">
      <c r="A27" s="62">
        <v>4671</v>
      </c>
      <c r="B27" s="62" t="s">
        <v>33</v>
      </c>
      <c r="C27" s="63">
        <f>VLOOKUP(A27,مهر!A:C,3,0)</f>
        <v>73</v>
      </c>
      <c r="D27" s="63">
        <v>1404</v>
      </c>
      <c r="E27" s="63">
        <v>8</v>
      </c>
      <c r="F27" s="64">
        <v>19900000</v>
      </c>
      <c r="G27" s="64">
        <v>0</v>
      </c>
      <c r="H27" s="64">
        <v>0</v>
      </c>
      <c r="I27" s="64">
        <v>0</v>
      </c>
    </row>
    <row r="28" spans="1:9" x14ac:dyDescent="0.25">
      <c r="A28" s="62">
        <v>4673</v>
      </c>
      <c r="B28" s="62" t="s">
        <v>34</v>
      </c>
      <c r="C28" s="63">
        <f>VLOOKUP(A28,مهر!A:C,3,0)</f>
        <v>45</v>
      </c>
      <c r="D28" s="63">
        <v>1404</v>
      </c>
      <c r="E28" s="63">
        <v>8</v>
      </c>
      <c r="F28" s="64">
        <v>29850000</v>
      </c>
      <c r="G28" s="64">
        <v>0</v>
      </c>
      <c r="H28" s="64">
        <v>0</v>
      </c>
      <c r="I28" s="64">
        <v>0</v>
      </c>
    </row>
    <row r="29" spans="1:9" x14ac:dyDescent="0.25">
      <c r="A29" s="62">
        <v>4686</v>
      </c>
      <c r="B29" s="62" t="s">
        <v>35</v>
      </c>
      <c r="C29" s="63">
        <f>VLOOKUP(A29,مهر!A:C,3,0)</f>
        <v>27</v>
      </c>
      <c r="D29" s="63">
        <v>1404</v>
      </c>
      <c r="E29" s="63">
        <v>8</v>
      </c>
      <c r="F29" s="64">
        <v>19900000</v>
      </c>
      <c r="G29" s="64">
        <v>0</v>
      </c>
      <c r="H29" s="64">
        <v>0</v>
      </c>
      <c r="I29" s="64">
        <v>0</v>
      </c>
    </row>
    <row r="30" spans="1:9" x14ac:dyDescent="0.25">
      <c r="A30" s="62">
        <v>4687</v>
      </c>
      <c r="B30" s="62" t="s">
        <v>36</v>
      </c>
      <c r="C30" s="63">
        <f>VLOOKUP(A30,مهر!A:C,3,0)</f>
        <v>136</v>
      </c>
      <c r="D30" s="63">
        <v>1404</v>
      </c>
      <c r="E30" s="63">
        <v>8</v>
      </c>
      <c r="F30" s="64">
        <v>39800000</v>
      </c>
      <c r="G30" s="64">
        <v>0</v>
      </c>
      <c r="H30" s="64">
        <v>0</v>
      </c>
      <c r="I30" s="64">
        <v>2000000</v>
      </c>
    </row>
    <row r="31" spans="1:9" x14ac:dyDescent="0.25">
      <c r="A31" s="62">
        <v>4689</v>
      </c>
      <c r="B31" s="62" t="s">
        <v>38</v>
      </c>
      <c r="C31" s="63">
        <f>VLOOKUP(A31,مهر!A:C,3,0)</f>
        <v>96</v>
      </c>
      <c r="D31" s="63">
        <v>1404</v>
      </c>
      <c r="E31" s="63">
        <v>8</v>
      </c>
      <c r="F31" s="64">
        <v>19900000</v>
      </c>
      <c r="G31" s="64">
        <v>30000000</v>
      </c>
      <c r="H31" s="64">
        <v>0</v>
      </c>
      <c r="I31" s="64">
        <v>0</v>
      </c>
    </row>
    <row r="32" spans="1:9" x14ac:dyDescent="0.25">
      <c r="A32" s="62">
        <v>4693</v>
      </c>
      <c r="B32" s="62" t="s">
        <v>39</v>
      </c>
      <c r="C32" s="63">
        <f>VLOOKUP(A32,مهر!A:C,3,0)</f>
        <v>24</v>
      </c>
      <c r="D32" s="63">
        <v>1404</v>
      </c>
      <c r="E32" s="63">
        <v>8</v>
      </c>
      <c r="F32" s="64">
        <v>9950000</v>
      </c>
      <c r="G32" s="64">
        <v>0</v>
      </c>
      <c r="H32" s="64">
        <v>0</v>
      </c>
      <c r="I32" s="64">
        <v>0</v>
      </c>
    </row>
    <row r="33" spans="1:9" x14ac:dyDescent="0.25">
      <c r="A33" s="62">
        <v>4701</v>
      </c>
      <c r="B33" s="62" t="s">
        <v>40</v>
      </c>
      <c r="C33" s="63">
        <f>VLOOKUP(A33,مهر!A:C,3,0)</f>
        <v>138</v>
      </c>
      <c r="D33" s="63">
        <v>1404</v>
      </c>
      <c r="E33" s="63">
        <v>8</v>
      </c>
      <c r="F33" s="64">
        <v>0</v>
      </c>
      <c r="G33" s="64">
        <v>0</v>
      </c>
      <c r="H33" s="64">
        <v>0</v>
      </c>
      <c r="I33" s="64">
        <v>2000000</v>
      </c>
    </row>
    <row r="34" spans="1:9" x14ac:dyDescent="0.25">
      <c r="A34" s="62">
        <v>4705</v>
      </c>
      <c r="B34" s="62" t="s">
        <v>41</v>
      </c>
      <c r="C34" s="63">
        <f>VLOOKUP(A34,مهر!A:C,3,0)</f>
        <v>134</v>
      </c>
      <c r="D34" s="63">
        <v>1404</v>
      </c>
      <c r="E34" s="63">
        <v>8</v>
      </c>
      <c r="F34" s="64">
        <v>9950000</v>
      </c>
      <c r="G34" s="64">
        <v>0</v>
      </c>
      <c r="H34" s="64">
        <v>0</v>
      </c>
      <c r="I34" s="64">
        <v>0</v>
      </c>
    </row>
    <row r="35" spans="1:9" x14ac:dyDescent="0.25">
      <c r="A35" s="62">
        <v>4727</v>
      </c>
      <c r="B35" s="62" t="s">
        <v>42</v>
      </c>
      <c r="C35" s="63">
        <f>VLOOKUP(A35,مهر!A:C,3,0)</f>
        <v>58</v>
      </c>
      <c r="D35" s="63">
        <v>1404</v>
      </c>
      <c r="E35" s="63">
        <v>8</v>
      </c>
      <c r="F35" s="64">
        <v>9950000</v>
      </c>
      <c r="G35" s="64">
        <v>0</v>
      </c>
      <c r="H35" s="64">
        <v>0</v>
      </c>
      <c r="I35" s="64">
        <v>1500000</v>
      </c>
    </row>
    <row r="36" spans="1:9" x14ac:dyDescent="0.25">
      <c r="A36" s="62">
        <v>4728</v>
      </c>
      <c r="B36" s="62" t="s">
        <v>43</v>
      </c>
      <c r="C36" s="63">
        <f>VLOOKUP(A36,مهر!A:C,3,0)</f>
        <v>144</v>
      </c>
      <c r="D36" s="63">
        <v>1404</v>
      </c>
      <c r="E36" s="63">
        <v>8</v>
      </c>
      <c r="F36" s="64">
        <v>9950000</v>
      </c>
      <c r="G36" s="64">
        <v>0</v>
      </c>
      <c r="H36" s="64">
        <v>0</v>
      </c>
      <c r="I36" s="64">
        <v>0</v>
      </c>
    </row>
    <row r="37" spans="1:9" x14ac:dyDescent="0.25">
      <c r="A37" s="62">
        <v>4735</v>
      </c>
      <c r="B37" s="62" t="s">
        <v>45</v>
      </c>
      <c r="C37" s="63">
        <f>VLOOKUP(A37,مهر!A:C,3,0)</f>
        <v>141</v>
      </c>
      <c r="D37" s="63">
        <v>1404</v>
      </c>
      <c r="E37" s="63">
        <v>8</v>
      </c>
      <c r="F37" s="64">
        <v>49750000</v>
      </c>
      <c r="G37" s="64">
        <v>0</v>
      </c>
      <c r="H37" s="64">
        <v>0</v>
      </c>
      <c r="I37" s="64">
        <v>0</v>
      </c>
    </row>
    <row r="38" spans="1:9" x14ac:dyDescent="0.25">
      <c r="A38" s="62">
        <v>5616</v>
      </c>
      <c r="B38" s="62" t="s">
        <v>46</v>
      </c>
      <c r="C38" s="63">
        <f>VLOOKUP(A38,مهر!A:C,3,0)</f>
        <v>40</v>
      </c>
      <c r="D38" s="63">
        <v>1404</v>
      </c>
      <c r="E38" s="63">
        <v>8</v>
      </c>
      <c r="F38" s="64">
        <v>49750000</v>
      </c>
      <c r="G38" s="64">
        <v>0</v>
      </c>
      <c r="H38" s="64">
        <v>0</v>
      </c>
      <c r="I38" s="64">
        <v>3000000</v>
      </c>
    </row>
    <row r="39" spans="1:9" x14ac:dyDescent="0.25">
      <c r="A39" s="62">
        <v>5624</v>
      </c>
      <c r="B39" s="62" t="s">
        <v>49</v>
      </c>
      <c r="C39" s="63">
        <f>VLOOKUP(A39,مهر!A:C,3,0)</f>
        <v>109</v>
      </c>
      <c r="D39" s="63">
        <v>1404</v>
      </c>
      <c r="E39" s="63">
        <v>8</v>
      </c>
      <c r="F39" s="64">
        <v>19900000</v>
      </c>
      <c r="G39" s="64">
        <v>40000000</v>
      </c>
      <c r="H39" s="64">
        <v>0</v>
      </c>
      <c r="I39" s="64">
        <v>0</v>
      </c>
    </row>
    <row r="40" spans="1:9" x14ac:dyDescent="0.25">
      <c r="A40" s="62">
        <v>5626</v>
      </c>
      <c r="B40" s="62" t="s">
        <v>50</v>
      </c>
      <c r="C40" s="63">
        <f>VLOOKUP(A40,مهر!A:C,3,0)</f>
        <v>37</v>
      </c>
      <c r="D40" s="63">
        <v>1404</v>
      </c>
      <c r="E40" s="63">
        <v>8</v>
      </c>
      <c r="F40" s="64">
        <v>19900000</v>
      </c>
      <c r="G40" s="64">
        <v>0</v>
      </c>
      <c r="H40" s="64">
        <v>0</v>
      </c>
      <c r="I40" s="64">
        <v>0</v>
      </c>
    </row>
    <row r="41" spans="1:9" x14ac:dyDescent="0.25">
      <c r="A41" s="62">
        <v>5627</v>
      </c>
      <c r="B41" s="62" t="s">
        <v>51</v>
      </c>
      <c r="C41" s="63">
        <f>VLOOKUP(A41,مهر!A:C,3,0)</f>
        <v>101</v>
      </c>
      <c r="D41" s="63">
        <v>1404</v>
      </c>
      <c r="E41" s="63">
        <v>8</v>
      </c>
      <c r="F41" s="64">
        <v>29850000</v>
      </c>
      <c r="G41" s="64">
        <v>0</v>
      </c>
      <c r="H41" s="64">
        <v>0</v>
      </c>
      <c r="I41" s="64">
        <v>0</v>
      </c>
    </row>
    <row r="42" spans="1:9" x14ac:dyDescent="0.25">
      <c r="A42" s="62">
        <v>5628</v>
      </c>
      <c r="B42" s="62" t="s">
        <v>52</v>
      </c>
      <c r="C42" s="63">
        <f>VLOOKUP(A42,مهر!A:C,3,0)</f>
        <v>123</v>
      </c>
      <c r="D42" s="63">
        <v>1404</v>
      </c>
      <c r="E42" s="63">
        <v>8</v>
      </c>
      <c r="F42" s="64">
        <v>19900000</v>
      </c>
      <c r="G42" s="64">
        <v>0</v>
      </c>
      <c r="H42" s="64">
        <v>0</v>
      </c>
      <c r="I42" s="64">
        <v>6815800</v>
      </c>
    </row>
    <row r="43" spans="1:9" x14ac:dyDescent="0.25">
      <c r="A43" s="62">
        <v>5629</v>
      </c>
      <c r="B43" s="62" t="s">
        <v>53</v>
      </c>
      <c r="C43" s="63">
        <f>VLOOKUP(A43,مهر!A:C,3,0)</f>
        <v>46</v>
      </c>
      <c r="D43" s="63">
        <v>1404</v>
      </c>
      <c r="E43" s="63">
        <v>8</v>
      </c>
      <c r="F43" s="64">
        <v>19900000</v>
      </c>
      <c r="G43" s="64">
        <v>50000000</v>
      </c>
      <c r="H43" s="64">
        <v>0</v>
      </c>
      <c r="I43" s="64">
        <v>2963000</v>
      </c>
    </row>
    <row r="44" spans="1:9" x14ac:dyDescent="0.25">
      <c r="A44" s="62">
        <v>5638</v>
      </c>
      <c r="B44" s="62" t="s">
        <v>59</v>
      </c>
      <c r="C44" s="63">
        <f>VLOOKUP(A44,مهر!A:C,3,0)</f>
        <v>87</v>
      </c>
      <c r="D44" s="63">
        <v>1404</v>
      </c>
      <c r="E44" s="63">
        <v>8</v>
      </c>
      <c r="F44" s="64">
        <v>19900000</v>
      </c>
      <c r="G44" s="64">
        <v>0</v>
      </c>
      <c r="H44" s="64">
        <v>0</v>
      </c>
      <c r="I44" s="64">
        <v>6000000</v>
      </c>
    </row>
    <row r="45" spans="1:9" x14ac:dyDescent="0.25">
      <c r="A45" s="62">
        <v>5642</v>
      </c>
      <c r="B45" s="62" t="s">
        <v>60</v>
      </c>
      <c r="C45" s="63">
        <f>VLOOKUP(A45,مهر!A:C,3,0)</f>
        <v>137</v>
      </c>
      <c r="D45" s="63">
        <v>1404</v>
      </c>
      <c r="E45" s="63">
        <v>8</v>
      </c>
      <c r="F45" s="64">
        <v>0</v>
      </c>
      <c r="G45" s="64">
        <v>40000000</v>
      </c>
      <c r="H45" s="64">
        <v>0</v>
      </c>
      <c r="I45" s="64">
        <v>0</v>
      </c>
    </row>
    <row r="46" spans="1:9" x14ac:dyDescent="0.25">
      <c r="A46" s="62">
        <v>5653</v>
      </c>
      <c r="B46" s="62" t="s">
        <v>210</v>
      </c>
      <c r="C46" s="63">
        <f>VLOOKUP(A46,مهر!A:C,3,0)</f>
        <v>464</v>
      </c>
      <c r="D46" s="63">
        <v>1404</v>
      </c>
      <c r="E46" s="63">
        <v>8</v>
      </c>
      <c r="F46" s="64">
        <v>0</v>
      </c>
      <c r="G46" s="64">
        <v>30000000</v>
      </c>
      <c r="H46" s="64">
        <v>0</v>
      </c>
      <c r="I46" s="64">
        <v>1500000</v>
      </c>
    </row>
    <row r="47" spans="1:9" x14ac:dyDescent="0.25">
      <c r="A47" s="62">
        <v>5655</v>
      </c>
      <c r="B47" s="62" t="s">
        <v>63</v>
      </c>
      <c r="C47" s="63">
        <f>VLOOKUP(A47,مهر!A:C,3,0)</f>
        <v>130</v>
      </c>
      <c r="D47" s="63">
        <v>1404</v>
      </c>
      <c r="E47" s="63">
        <v>8</v>
      </c>
      <c r="F47" s="64">
        <v>29850000</v>
      </c>
      <c r="G47" s="64">
        <v>0</v>
      </c>
      <c r="H47" s="64">
        <v>0</v>
      </c>
      <c r="I47" s="64">
        <v>0</v>
      </c>
    </row>
    <row r="48" spans="1:9" x14ac:dyDescent="0.25">
      <c r="A48" s="62">
        <v>5663</v>
      </c>
      <c r="B48" s="62" t="s">
        <v>284</v>
      </c>
      <c r="C48" s="63">
        <v>524</v>
      </c>
      <c r="D48" s="63">
        <v>1404</v>
      </c>
      <c r="E48" s="63">
        <v>8</v>
      </c>
      <c r="F48" s="64">
        <v>0</v>
      </c>
      <c r="G48" s="64">
        <v>47700000</v>
      </c>
      <c r="H48" s="64">
        <v>0</v>
      </c>
      <c r="I48" s="64">
        <v>0</v>
      </c>
    </row>
    <row r="49" spans="1:9" x14ac:dyDescent="0.25">
      <c r="A49" s="62">
        <v>5671</v>
      </c>
      <c r="B49" s="62" t="s">
        <v>65</v>
      </c>
      <c r="C49" s="63">
        <f>VLOOKUP(A49,مهر!A:C,3,0)</f>
        <v>128</v>
      </c>
      <c r="D49" s="63">
        <v>1404</v>
      </c>
      <c r="E49" s="63">
        <v>8</v>
      </c>
      <c r="F49" s="64">
        <v>0</v>
      </c>
      <c r="G49" s="64">
        <v>0</v>
      </c>
      <c r="H49" s="64">
        <v>0</v>
      </c>
      <c r="I49" s="64">
        <v>3037100</v>
      </c>
    </row>
    <row r="50" spans="1:9" x14ac:dyDescent="0.25">
      <c r="A50" s="62">
        <v>5685</v>
      </c>
      <c r="B50" s="62" t="s">
        <v>67</v>
      </c>
      <c r="C50" s="63">
        <f>VLOOKUP(A50,مهر!A:C,3,0)</f>
        <v>142</v>
      </c>
      <c r="D50" s="63">
        <v>1404</v>
      </c>
      <c r="E50" s="63">
        <v>8</v>
      </c>
      <c r="F50" s="64">
        <v>29850000</v>
      </c>
      <c r="G50" s="64">
        <v>0</v>
      </c>
      <c r="H50" s="64">
        <v>0</v>
      </c>
      <c r="I50" s="64">
        <v>0</v>
      </c>
    </row>
    <row r="51" spans="1:9" x14ac:dyDescent="0.25">
      <c r="A51" s="62">
        <v>5699</v>
      </c>
      <c r="B51" s="62" t="s">
        <v>68</v>
      </c>
      <c r="C51" s="63">
        <f>VLOOKUP(A51,مهر!A:C,3,0)</f>
        <v>159</v>
      </c>
      <c r="D51" s="63">
        <v>1404</v>
      </c>
      <c r="E51" s="63">
        <v>8</v>
      </c>
      <c r="F51" s="64">
        <v>49750000</v>
      </c>
      <c r="G51" s="64">
        <v>0</v>
      </c>
      <c r="H51" s="64">
        <v>0</v>
      </c>
      <c r="I51" s="64">
        <v>0</v>
      </c>
    </row>
    <row r="52" spans="1:9" x14ac:dyDescent="0.25">
      <c r="A52" s="62">
        <v>5708</v>
      </c>
      <c r="B52" s="62" t="s">
        <v>72</v>
      </c>
      <c r="C52" s="63">
        <f>VLOOKUP(A52,مهر!A:C,3,0)</f>
        <v>50</v>
      </c>
      <c r="D52" s="63">
        <v>1404</v>
      </c>
      <c r="E52" s="63">
        <v>8</v>
      </c>
      <c r="F52" s="64">
        <v>29850000</v>
      </c>
      <c r="G52" s="64">
        <v>0</v>
      </c>
      <c r="H52" s="64">
        <v>0</v>
      </c>
      <c r="I52" s="64">
        <v>0</v>
      </c>
    </row>
    <row r="53" spans="1:9" x14ac:dyDescent="0.25">
      <c r="A53" s="62">
        <v>5710</v>
      </c>
      <c r="B53" s="62" t="s">
        <v>73</v>
      </c>
      <c r="C53" s="63">
        <f>VLOOKUP(A53,مهر!A:C,3,0)</f>
        <v>74</v>
      </c>
      <c r="D53" s="63">
        <v>1404</v>
      </c>
      <c r="E53" s="63">
        <v>8</v>
      </c>
      <c r="F53" s="64">
        <v>29850000</v>
      </c>
      <c r="G53" s="64">
        <v>30000000</v>
      </c>
      <c r="H53" s="64">
        <v>0</v>
      </c>
      <c r="I53" s="64">
        <v>0</v>
      </c>
    </row>
    <row r="54" spans="1:9" x14ac:dyDescent="0.25">
      <c r="A54" s="62">
        <v>5727</v>
      </c>
      <c r="B54" s="62" t="s">
        <v>76</v>
      </c>
      <c r="C54" s="63">
        <f>VLOOKUP(A54,مهر!A:C,3,0)</f>
        <v>47</v>
      </c>
      <c r="D54" s="63">
        <v>1404</v>
      </c>
      <c r="E54" s="63">
        <v>8</v>
      </c>
      <c r="F54" s="64">
        <v>59700000</v>
      </c>
      <c r="G54" s="64">
        <v>50000000</v>
      </c>
      <c r="H54" s="64">
        <v>0</v>
      </c>
      <c r="I54" s="64">
        <v>0</v>
      </c>
    </row>
    <row r="55" spans="1:9" x14ac:dyDescent="0.25">
      <c r="A55" s="62">
        <v>5734</v>
      </c>
      <c r="B55" s="62" t="s">
        <v>77</v>
      </c>
      <c r="C55" s="63">
        <f>VLOOKUP(A55,مهر!A:C,3,0)</f>
        <v>98</v>
      </c>
      <c r="D55" s="63">
        <v>1404</v>
      </c>
      <c r="E55" s="63">
        <v>8</v>
      </c>
      <c r="F55" s="64">
        <v>19900000</v>
      </c>
      <c r="G55" s="64">
        <v>40000000</v>
      </c>
      <c r="H55" s="64">
        <v>0</v>
      </c>
      <c r="I55" s="64">
        <v>0</v>
      </c>
    </row>
    <row r="56" spans="1:9" x14ac:dyDescent="0.25">
      <c r="A56" s="62">
        <v>5744</v>
      </c>
      <c r="B56" s="62" t="s">
        <v>78</v>
      </c>
      <c r="C56" s="63">
        <f>VLOOKUP(A56,مهر!A:C,3,0)</f>
        <v>3</v>
      </c>
      <c r="D56" s="63">
        <v>1404</v>
      </c>
      <c r="E56" s="63">
        <v>8</v>
      </c>
      <c r="F56" s="64">
        <v>39800000</v>
      </c>
      <c r="G56" s="64">
        <v>187718500</v>
      </c>
      <c r="H56" s="64">
        <v>0</v>
      </c>
      <c r="I56" s="64">
        <v>0</v>
      </c>
    </row>
    <row r="57" spans="1:9" x14ac:dyDescent="0.25">
      <c r="A57" s="62">
        <v>5765</v>
      </c>
      <c r="B57" s="62" t="s">
        <v>80</v>
      </c>
      <c r="C57" s="63">
        <f>VLOOKUP(A57,مهر!A:C,3,0)</f>
        <v>51</v>
      </c>
      <c r="D57" s="63">
        <v>1404</v>
      </c>
      <c r="E57" s="63">
        <v>8</v>
      </c>
      <c r="F57" s="64">
        <v>29850000</v>
      </c>
      <c r="G57" s="64">
        <v>0</v>
      </c>
      <c r="H57" s="64">
        <v>0</v>
      </c>
      <c r="I57" s="64">
        <v>0</v>
      </c>
    </row>
    <row r="58" spans="1:9" x14ac:dyDescent="0.25">
      <c r="A58" s="62">
        <v>5766</v>
      </c>
      <c r="B58" s="62" t="s">
        <v>81</v>
      </c>
      <c r="C58" s="63">
        <f>VLOOKUP(A58,مهر!A:C,3,0)</f>
        <v>135</v>
      </c>
      <c r="D58" s="63">
        <v>1404</v>
      </c>
      <c r="E58" s="63">
        <v>8</v>
      </c>
      <c r="F58" s="64">
        <v>29850000</v>
      </c>
      <c r="G58" s="64">
        <v>0</v>
      </c>
      <c r="H58" s="64">
        <v>0</v>
      </c>
      <c r="I58" s="64">
        <v>0</v>
      </c>
    </row>
    <row r="59" spans="1:9" x14ac:dyDescent="0.25">
      <c r="A59" s="62">
        <v>5771</v>
      </c>
      <c r="B59" s="62" t="s">
        <v>82</v>
      </c>
      <c r="C59" s="63">
        <f>VLOOKUP(A59,مهر!A:C,3,0)</f>
        <v>77</v>
      </c>
      <c r="D59" s="63">
        <v>1404</v>
      </c>
      <c r="E59" s="63">
        <v>8</v>
      </c>
      <c r="F59" s="64">
        <v>19900000</v>
      </c>
      <c r="G59" s="64">
        <v>30000000</v>
      </c>
      <c r="H59" s="64">
        <v>0</v>
      </c>
      <c r="I59" s="64">
        <v>0</v>
      </c>
    </row>
    <row r="60" spans="1:9" x14ac:dyDescent="0.25">
      <c r="A60" s="62">
        <v>5783</v>
      </c>
      <c r="B60" s="62" t="s">
        <v>84</v>
      </c>
      <c r="C60" s="63">
        <f>VLOOKUP(A60,مهر!A:C,3,0)</f>
        <v>79</v>
      </c>
      <c r="D60" s="63">
        <v>1404</v>
      </c>
      <c r="E60" s="63">
        <v>8</v>
      </c>
      <c r="F60" s="64">
        <v>39800000</v>
      </c>
      <c r="G60" s="64">
        <v>20000000</v>
      </c>
      <c r="H60" s="64">
        <v>0</v>
      </c>
      <c r="I60" s="64">
        <v>0</v>
      </c>
    </row>
    <row r="61" spans="1:9" x14ac:dyDescent="0.25">
      <c r="A61" s="62">
        <v>5784</v>
      </c>
      <c r="B61" s="62" t="s">
        <v>85</v>
      </c>
      <c r="C61" s="63">
        <f>VLOOKUP(A61,مهر!A:C,3,0)</f>
        <v>148</v>
      </c>
      <c r="D61" s="63">
        <v>1404</v>
      </c>
      <c r="E61" s="63">
        <v>8</v>
      </c>
      <c r="F61" s="64">
        <v>9950000</v>
      </c>
      <c r="G61" s="64">
        <v>0</v>
      </c>
      <c r="H61" s="64">
        <v>0</v>
      </c>
      <c r="I61" s="64">
        <v>0</v>
      </c>
    </row>
    <row r="62" spans="1:9" x14ac:dyDescent="0.25">
      <c r="A62" s="62">
        <v>5791</v>
      </c>
      <c r="B62" s="62" t="s">
        <v>86</v>
      </c>
      <c r="C62" s="63">
        <f>VLOOKUP(A62,مهر!A:C,3,0)</f>
        <v>150</v>
      </c>
      <c r="D62" s="63">
        <v>1404</v>
      </c>
      <c r="E62" s="63">
        <v>8</v>
      </c>
      <c r="F62" s="64">
        <v>9950000</v>
      </c>
      <c r="G62" s="64">
        <v>0</v>
      </c>
      <c r="H62" s="64">
        <v>0</v>
      </c>
      <c r="I62" s="64">
        <v>0</v>
      </c>
    </row>
    <row r="63" spans="1:9" x14ac:dyDescent="0.25">
      <c r="A63" s="62">
        <v>5793</v>
      </c>
      <c r="B63" s="62" t="s">
        <v>87</v>
      </c>
      <c r="C63" s="63">
        <f>VLOOKUP(A63,مهر!A:C,3,0)</f>
        <v>43</v>
      </c>
      <c r="D63" s="63">
        <v>1404</v>
      </c>
      <c r="E63" s="63">
        <v>8</v>
      </c>
      <c r="F63" s="64">
        <v>0</v>
      </c>
      <c r="G63" s="64">
        <v>30000000</v>
      </c>
      <c r="H63" s="64">
        <v>0</v>
      </c>
      <c r="I63" s="64">
        <v>0</v>
      </c>
    </row>
    <row r="64" spans="1:9" x14ac:dyDescent="0.25">
      <c r="A64" s="62">
        <v>5799</v>
      </c>
      <c r="B64" s="62" t="s">
        <v>90</v>
      </c>
      <c r="C64" s="63">
        <f>VLOOKUP(A64,مهر!A:C,3,0)</f>
        <v>224</v>
      </c>
      <c r="D64" s="63">
        <v>1404</v>
      </c>
      <c r="E64" s="63">
        <v>8</v>
      </c>
      <c r="F64" s="64">
        <v>0</v>
      </c>
      <c r="G64" s="64">
        <v>30000000</v>
      </c>
      <c r="H64" s="64">
        <v>0</v>
      </c>
      <c r="I64" s="64">
        <v>0</v>
      </c>
    </row>
    <row r="65" spans="1:9" x14ac:dyDescent="0.25">
      <c r="A65" s="62">
        <v>5816</v>
      </c>
      <c r="B65" s="62" t="s">
        <v>92</v>
      </c>
      <c r="C65" s="63">
        <f>VLOOKUP(A65,مهر!A:C,3,0)</f>
        <v>86</v>
      </c>
      <c r="D65" s="63">
        <v>1404</v>
      </c>
      <c r="E65" s="63">
        <v>8</v>
      </c>
      <c r="F65" s="64">
        <v>0</v>
      </c>
      <c r="G65" s="64">
        <v>0</v>
      </c>
      <c r="H65" s="64">
        <v>0</v>
      </c>
      <c r="I65" s="64">
        <v>2996000</v>
      </c>
    </row>
    <row r="66" spans="1:9" x14ac:dyDescent="0.25">
      <c r="A66" s="62">
        <v>5827</v>
      </c>
      <c r="B66" s="62" t="s">
        <v>95</v>
      </c>
      <c r="C66" s="63">
        <f>VLOOKUP(A66,مهر!A:C,3,0)</f>
        <v>53</v>
      </c>
      <c r="D66" s="63">
        <v>1404</v>
      </c>
      <c r="E66" s="63">
        <v>8</v>
      </c>
      <c r="F66" s="64">
        <v>0</v>
      </c>
      <c r="G66" s="64">
        <v>30000000</v>
      </c>
      <c r="H66" s="64">
        <v>0</v>
      </c>
      <c r="I66" s="64">
        <v>1500000</v>
      </c>
    </row>
    <row r="67" spans="1:9" x14ac:dyDescent="0.25">
      <c r="A67" s="62">
        <v>5829</v>
      </c>
      <c r="B67" s="62" t="s">
        <v>96</v>
      </c>
      <c r="C67" s="63">
        <f>VLOOKUP(A67,مهر!A:C,3,0)</f>
        <v>56</v>
      </c>
      <c r="D67" s="63">
        <v>1404</v>
      </c>
      <c r="E67" s="63">
        <v>8</v>
      </c>
      <c r="F67" s="64">
        <v>0</v>
      </c>
      <c r="G67" s="64">
        <v>0</v>
      </c>
      <c r="H67" s="64">
        <v>0</v>
      </c>
      <c r="I67" s="64">
        <v>1464000</v>
      </c>
    </row>
    <row r="68" spans="1:9" x14ac:dyDescent="0.25">
      <c r="A68" s="62">
        <v>5833</v>
      </c>
      <c r="B68" s="62" t="s">
        <v>98</v>
      </c>
      <c r="C68" s="63">
        <f>VLOOKUP(A68,مهر!A:C,3,0)</f>
        <v>125</v>
      </c>
      <c r="D68" s="63">
        <v>1404</v>
      </c>
      <c r="E68" s="63">
        <v>8</v>
      </c>
      <c r="F68" s="64">
        <v>0</v>
      </c>
      <c r="G68" s="64">
        <v>0</v>
      </c>
      <c r="H68" s="64">
        <v>0</v>
      </c>
      <c r="I68" s="64">
        <v>1500000</v>
      </c>
    </row>
    <row r="69" spans="1:9" x14ac:dyDescent="0.25">
      <c r="A69" s="62">
        <v>5837</v>
      </c>
      <c r="B69" s="62" t="s">
        <v>100</v>
      </c>
      <c r="C69" s="63">
        <f>VLOOKUP(A69,مهر!A:C,3,0)</f>
        <v>75</v>
      </c>
      <c r="D69" s="63">
        <v>1404</v>
      </c>
      <c r="E69" s="63">
        <v>8</v>
      </c>
      <c r="F69" s="64">
        <v>9950000</v>
      </c>
      <c r="G69" s="64">
        <v>0</v>
      </c>
      <c r="H69" s="64">
        <v>0</v>
      </c>
      <c r="I69" s="64">
        <v>2745600</v>
      </c>
    </row>
    <row r="70" spans="1:9" x14ac:dyDescent="0.25">
      <c r="A70" s="62">
        <v>5843</v>
      </c>
      <c r="B70" s="62" t="s">
        <v>102</v>
      </c>
      <c r="C70" s="63">
        <f>VLOOKUP(A70,مهر!A:C,3,0)</f>
        <v>76</v>
      </c>
      <c r="D70" s="63">
        <v>1404</v>
      </c>
      <c r="E70" s="63">
        <v>8</v>
      </c>
      <c r="F70" s="64">
        <v>19900000</v>
      </c>
      <c r="G70" s="64">
        <v>0</v>
      </c>
      <c r="H70" s="64">
        <v>0</v>
      </c>
      <c r="I70" s="64">
        <v>0</v>
      </c>
    </row>
    <row r="71" spans="1:9" x14ac:dyDescent="0.25">
      <c r="A71" s="62">
        <v>5847</v>
      </c>
      <c r="B71" s="62" t="s">
        <v>103</v>
      </c>
      <c r="C71" s="63">
        <f>VLOOKUP(A71,مهر!A:C,3,0)</f>
        <v>93</v>
      </c>
      <c r="D71" s="63">
        <v>1404</v>
      </c>
      <c r="E71" s="63">
        <v>8</v>
      </c>
      <c r="F71" s="64">
        <v>49750000</v>
      </c>
      <c r="G71" s="64">
        <v>0</v>
      </c>
      <c r="H71" s="64">
        <v>0</v>
      </c>
      <c r="I71" s="64">
        <v>4500000</v>
      </c>
    </row>
    <row r="72" spans="1:9" x14ac:dyDescent="0.25">
      <c r="A72" s="62">
        <v>5857</v>
      </c>
      <c r="B72" s="62" t="s">
        <v>106</v>
      </c>
      <c r="C72" s="63">
        <f>VLOOKUP(A72,مهر!A:C,3,0)</f>
        <v>48</v>
      </c>
      <c r="D72" s="63">
        <v>1404</v>
      </c>
      <c r="E72" s="63">
        <v>8</v>
      </c>
      <c r="F72" s="64">
        <v>9950000</v>
      </c>
      <c r="G72" s="64">
        <v>70000000</v>
      </c>
      <c r="H72" s="64">
        <v>0</v>
      </c>
      <c r="I72" s="64">
        <v>1463000</v>
      </c>
    </row>
    <row r="73" spans="1:9" x14ac:dyDescent="0.25">
      <c r="A73" s="62">
        <v>5863</v>
      </c>
      <c r="B73" s="62" t="s">
        <v>107</v>
      </c>
      <c r="C73" s="63">
        <f>VLOOKUP(A73,مهر!A:C,3,0)</f>
        <v>2</v>
      </c>
      <c r="D73" s="63">
        <v>1404</v>
      </c>
      <c r="E73" s="63">
        <v>8</v>
      </c>
      <c r="F73" s="64">
        <v>39800000</v>
      </c>
      <c r="G73" s="64">
        <v>324702857</v>
      </c>
      <c r="H73" s="64">
        <v>0</v>
      </c>
      <c r="I73" s="64">
        <v>0</v>
      </c>
    </row>
    <row r="74" spans="1:9" x14ac:dyDescent="0.25">
      <c r="A74" s="62">
        <v>5867</v>
      </c>
      <c r="B74" s="62" t="s">
        <v>108</v>
      </c>
      <c r="C74" s="63">
        <f>VLOOKUP(A74,مهر!A:C,3,0)</f>
        <v>78</v>
      </c>
      <c r="D74" s="63">
        <v>1404</v>
      </c>
      <c r="E74" s="63">
        <v>8</v>
      </c>
      <c r="F74" s="64">
        <v>9950000</v>
      </c>
      <c r="G74" s="64">
        <v>0</v>
      </c>
      <c r="H74" s="64">
        <v>0</v>
      </c>
      <c r="I74" s="64">
        <v>0</v>
      </c>
    </row>
    <row r="75" spans="1:9" x14ac:dyDescent="0.25">
      <c r="A75" s="62">
        <v>5870</v>
      </c>
      <c r="B75" s="62" t="s">
        <v>109</v>
      </c>
      <c r="C75" s="63">
        <f>VLOOKUP(A75,مهر!A:C,3,0)</f>
        <v>199</v>
      </c>
      <c r="D75" s="63">
        <v>1404</v>
      </c>
      <c r="E75" s="63">
        <v>8</v>
      </c>
      <c r="F75" s="64">
        <v>9950000</v>
      </c>
      <c r="G75" s="64">
        <v>100000000</v>
      </c>
      <c r="H75" s="64">
        <v>0</v>
      </c>
      <c r="I75" s="64">
        <v>0</v>
      </c>
    </row>
    <row r="76" spans="1:9" x14ac:dyDescent="0.25">
      <c r="A76" s="62">
        <v>5883</v>
      </c>
      <c r="B76" s="62" t="s">
        <v>111</v>
      </c>
      <c r="C76" s="63">
        <f>VLOOKUP(A76,مهر!A:C,3,0)</f>
        <v>6</v>
      </c>
      <c r="D76" s="63">
        <v>1404</v>
      </c>
      <c r="E76" s="63">
        <v>8</v>
      </c>
      <c r="F76" s="64">
        <v>59700000</v>
      </c>
      <c r="G76" s="64">
        <v>223433999</v>
      </c>
      <c r="H76" s="64">
        <v>21887016</v>
      </c>
      <c r="I76" s="64">
        <v>0</v>
      </c>
    </row>
    <row r="77" spans="1:9" x14ac:dyDescent="0.25">
      <c r="A77" s="62">
        <v>5885</v>
      </c>
      <c r="B77" s="62" t="s">
        <v>112</v>
      </c>
      <c r="C77" s="63">
        <f>VLOOKUP(A77,مهر!A:C,3,0)</f>
        <v>161</v>
      </c>
      <c r="D77" s="63">
        <v>1404</v>
      </c>
      <c r="E77" s="63">
        <v>8</v>
      </c>
      <c r="F77" s="64">
        <v>19900000</v>
      </c>
      <c r="G77" s="64">
        <v>30000000</v>
      </c>
      <c r="H77" s="64">
        <v>0</v>
      </c>
      <c r="I77" s="64">
        <v>3000000</v>
      </c>
    </row>
    <row r="78" spans="1:9" x14ac:dyDescent="0.25">
      <c r="A78" s="62">
        <v>5886</v>
      </c>
      <c r="B78" s="62" t="s">
        <v>113</v>
      </c>
      <c r="C78" s="63">
        <f>VLOOKUP(A78,مهر!A:C,3,0)</f>
        <v>166</v>
      </c>
      <c r="D78" s="63">
        <v>1404</v>
      </c>
      <c r="E78" s="63">
        <v>8</v>
      </c>
      <c r="F78" s="64">
        <v>9950000</v>
      </c>
      <c r="G78" s="64">
        <v>0</v>
      </c>
      <c r="H78" s="64">
        <v>0</v>
      </c>
      <c r="I78" s="64">
        <v>0</v>
      </c>
    </row>
    <row r="79" spans="1:9" x14ac:dyDescent="0.25">
      <c r="A79" s="62">
        <v>5887</v>
      </c>
      <c r="B79" s="62" t="s">
        <v>114</v>
      </c>
      <c r="C79" s="63">
        <f>VLOOKUP(A79,مهر!A:C,3,0)</f>
        <v>167</v>
      </c>
      <c r="D79" s="63">
        <v>1404</v>
      </c>
      <c r="E79" s="63">
        <v>8</v>
      </c>
      <c r="F79" s="64">
        <v>9950000</v>
      </c>
      <c r="G79" s="64">
        <v>0</v>
      </c>
      <c r="H79" s="64">
        <v>0</v>
      </c>
      <c r="I79" s="64">
        <v>1500000</v>
      </c>
    </row>
    <row r="80" spans="1:9" x14ac:dyDescent="0.25">
      <c r="A80" s="62">
        <v>5890</v>
      </c>
      <c r="B80" s="62" t="s">
        <v>116</v>
      </c>
      <c r="C80" s="63">
        <f>VLOOKUP(A80,مهر!A:C,3,0)</f>
        <v>15</v>
      </c>
      <c r="D80" s="63">
        <v>1404</v>
      </c>
      <c r="E80" s="63">
        <v>8</v>
      </c>
      <c r="F80" s="64">
        <v>49750000</v>
      </c>
      <c r="G80" s="64">
        <v>0</v>
      </c>
      <c r="H80" s="64">
        <v>0</v>
      </c>
      <c r="I80" s="64">
        <v>0</v>
      </c>
    </row>
    <row r="81" spans="1:9" x14ac:dyDescent="0.25">
      <c r="A81" s="62">
        <v>5898</v>
      </c>
      <c r="B81" s="62" t="s">
        <v>117</v>
      </c>
      <c r="C81" s="63">
        <f>VLOOKUP(A81,مهر!A:C,3,0)</f>
        <v>29</v>
      </c>
      <c r="D81" s="63">
        <v>1404</v>
      </c>
      <c r="E81" s="63">
        <v>8</v>
      </c>
      <c r="F81" s="64">
        <v>39800000</v>
      </c>
      <c r="G81" s="64">
        <v>63333334</v>
      </c>
      <c r="H81" s="64">
        <v>0</v>
      </c>
      <c r="I81" s="64">
        <v>2000000</v>
      </c>
    </row>
    <row r="82" spans="1:9" x14ac:dyDescent="0.25">
      <c r="A82" s="62">
        <v>5900</v>
      </c>
      <c r="B82" s="62" t="s">
        <v>118</v>
      </c>
      <c r="C82" s="63">
        <f>VLOOKUP(A82,مهر!A:C,3,0)</f>
        <v>42</v>
      </c>
      <c r="D82" s="63">
        <v>1404</v>
      </c>
      <c r="E82" s="63">
        <v>8</v>
      </c>
      <c r="F82" s="64">
        <v>9950000</v>
      </c>
      <c r="G82" s="64">
        <v>30000000</v>
      </c>
      <c r="H82" s="64">
        <v>0</v>
      </c>
      <c r="I82" s="64">
        <v>0</v>
      </c>
    </row>
    <row r="83" spans="1:9" x14ac:dyDescent="0.25">
      <c r="A83" s="62">
        <v>5905</v>
      </c>
      <c r="B83" s="62" t="s">
        <v>121</v>
      </c>
      <c r="C83" s="63">
        <v>498</v>
      </c>
      <c r="D83" s="63">
        <v>1404</v>
      </c>
      <c r="E83" s="63">
        <v>8</v>
      </c>
      <c r="F83" s="64">
        <v>0</v>
      </c>
      <c r="G83" s="64">
        <v>15786166</v>
      </c>
      <c r="H83" s="64">
        <v>0</v>
      </c>
      <c r="I83" s="64">
        <v>0</v>
      </c>
    </row>
    <row r="84" spans="1:9" x14ac:dyDescent="0.25">
      <c r="A84" s="62">
        <v>5907</v>
      </c>
      <c r="B84" s="62" t="s">
        <v>123</v>
      </c>
      <c r="C84" s="63">
        <f>VLOOKUP(A84,مهر!A:C,3,0)</f>
        <v>16</v>
      </c>
      <c r="D84" s="63">
        <v>1404</v>
      </c>
      <c r="E84" s="63">
        <v>8</v>
      </c>
      <c r="F84" s="64">
        <v>29850000</v>
      </c>
      <c r="G84" s="64">
        <v>118348832</v>
      </c>
      <c r="H84" s="64">
        <v>0</v>
      </c>
      <c r="I84" s="64">
        <v>0</v>
      </c>
    </row>
    <row r="85" spans="1:9" x14ac:dyDescent="0.25">
      <c r="A85" s="62">
        <v>5908</v>
      </c>
      <c r="B85" s="62" t="s">
        <v>212</v>
      </c>
      <c r="C85" s="63">
        <f>VLOOKUP(A85,مهر!A:C,3,0)</f>
        <v>156</v>
      </c>
      <c r="D85" s="63">
        <v>1404</v>
      </c>
      <c r="E85" s="63">
        <v>8</v>
      </c>
      <c r="F85" s="64">
        <v>0</v>
      </c>
      <c r="G85" s="64">
        <v>30000000</v>
      </c>
      <c r="H85" s="64">
        <v>0</v>
      </c>
      <c r="I85" s="64">
        <v>0</v>
      </c>
    </row>
    <row r="86" spans="1:9" x14ac:dyDescent="0.25">
      <c r="A86" s="62">
        <v>5909</v>
      </c>
      <c r="B86" s="62" t="s">
        <v>124</v>
      </c>
      <c r="C86" s="63">
        <f>VLOOKUP(A86,مهر!A:C,3,0)</f>
        <v>23</v>
      </c>
      <c r="D86" s="63">
        <v>1404</v>
      </c>
      <c r="E86" s="63">
        <v>8</v>
      </c>
      <c r="F86" s="64">
        <v>39800000</v>
      </c>
      <c r="G86" s="64">
        <v>0</v>
      </c>
      <c r="H86" s="64">
        <v>0</v>
      </c>
      <c r="I86" s="64">
        <v>0</v>
      </c>
    </row>
    <row r="87" spans="1:9" x14ac:dyDescent="0.25">
      <c r="A87" s="62">
        <v>5914</v>
      </c>
      <c r="B87" s="62" t="s">
        <v>125</v>
      </c>
      <c r="C87" s="63">
        <f>VLOOKUP(A87,مهر!A:C,3,0)</f>
        <v>14</v>
      </c>
      <c r="D87" s="63">
        <v>1404</v>
      </c>
      <c r="E87" s="63">
        <v>8</v>
      </c>
      <c r="F87" s="64">
        <v>0</v>
      </c>
      <c r="G87" s="64">
        <v>129999999</v>
      </c>
      <c r="H87" s="64">
        <v>0</v>
      </c>
      <c r="I87" s="64">
        <v>0</v>
      </c>
    </row>
    <row r="88" spans="1:9" x14ac:dyDescent="0.25">
      <c r="A88" s="62">
        <v>5918</v>
      </c>
      <c r="B88" s="62" t="s">
        <v>126</v>
      </c>
      <c r="C88" s="63">
        <f>VLOOKUP(A88,مهر!A:C,3,0)</f>
        <v>9</v>
      </c>
      <c r="D88" s="63">
        <v>1404</v>
      </c>
      <c r="E88" s="63">
        <v>8</v>
      </c>
      <c r="F88" s="64">
        <v>39800000</v>
      </c>
      <c r="G88" s="64">
        <v>45853333</v>
      </c>
      <c r="H88" s="64">
        <v>0</v>
      </c>
      <c r="I88" s="64">
        <v>0</v>
      </c>
    </row>
    <row r="89" spans="1:9" x14ac:dyDescent="0.25">
      <c r="A89" s="62">
        <v>5919</v>
      </c>
      <c r="B89" s="62" t="s">
        <v>127</v>
      </c>
      <c r="C89" s="63">
        <f>VLOOKUP(A89,مهر!A:C,3,0)</f>
        <v>152</v>
      </c>
      <c r="D89" s="63">
        <v>1404</v>
      </c>
      <c r="E89" s="63">
        <v>8</v>
      </c>
      <c r="F89" s="64">
        <v>39800000</v>
      </c>
      <c r="G89" s="64">
        <v>0</v>
      </c>
      <c r="H89" s="64">
        <v>0</v>
      </c>
      <c r="I89" s="64">
        <v>4000000</v>
      </c>
    </row>
    <row r="90" spans="1:9" x14ac:dyDescent="0.25">
      <c r="A90" s="62">
        <v>5924</v>
      </c>
      <c r="B90" s="62" t="s">
        <v>130</v>
      </c>
      <c r="C90" s="63">
        <f>VLOOKUP(A90,مهر!A:C,3,0)</f>
        <v>54</v>
      </c>
      <c r="D90" s="63">
        <v>1404</v>
      </c>
      <c r="E90" s="63">
        <v>8</v>
      </c>
      <c r="F90" s="64">
        <v>19900000</v>
      </c>
      <c r="G90" s="64">
        <v>80000000</v>
      </c>
      <c r="H90" s="64">
        <v>0</v>
      </c>
      <c r="I90" s="64">
        <v>0</v>
      </c>
    </row>
    <row r="91" spans="1:9" x14ac:dyDescent="0.25">
      <c r="A91" s="62">
        <v>5926</v>
      </c>
      <c r="B91" s="62" t="s">
        <v>131</v>
      </c>
      <c r="C91" s="63">
        <f>VLOOKUP(A91,مهر!A:C,3,0)</f>
        <v>112</v>
      </c>
      <c r="D91" s="63">
        <v>1404</v>
      </c>
      <c r="E91" s="63">
        <v>8</v>
      </c>
      <c r="F91" s="64">
        <v>39800000</v>
      </c>
      <c r="G91" s="64">
        <v>90000000</v>
      </c>
      <c r="H91" s="64">
        <v>0</v>
      </c>
      <c r="I91" s="64">
        <v>26970388</v>
      </c>
    </row>
    <row r="92" spans="1:9" x14ac:dyDescent="0.25">
      <c r="A92" s="62">
        <v>5927</v>
      </c>
      <c r="B92" s="62" t="s">
        <v>132</v>
      </c>
      <c r="C92" s="63">
        <f>VLOOKUP(A92,مهر!A:C,3,0)</f>
        <v>153</v>
      </c>
      <c r="D92" s="63">
        <v>1404</v>
      </c>
      <c r="E92" s="63">
        <v>8</v>
      </c>
      <c r="F92" s="64">
        <v>9950000</v>
      </c>
      <c r="G92" s="64">
        <v>30000000</v>
      </c>
      <c r="H92" s="64">
        <v>0</v>
      </c>
      <c r="I92" s="64">
        <v>1500000</v>
      </c>
    </row>
    <row r="93" spans="1:9" x14ac:dyDescent="0.25">
      <c r="A93" s="62">
        <v>5931</v>
      </c>
      <c r="B93" s="62" t="s">
        <v>133</v>
      </c>
      <c r="C93" s="63">
        <f>VLOOKUP(A93,مهر!A:C,3,0)</f>
        <v>113</v>
      </c>
      <c r="D93" s="63">
        <v>1404</v>
      </c>
      <c r="E93" s="63">
        <v>8</v>
      </c>
      <c r="F93" s="64">
        <v>39800000</v>
      </c>
      <c r="G93" s="64">
        <v>40000000</v>
      </c>
      <c r="H93" s="64">
        <v>0</v>
      </c>
      <c r="I93" s="64">
        <v>0</v>
      </c>
    </row>
    <row r="94" spans="1:9" x14ac:dyDescent="0.25">
      <c r="A94" s="62">
        <v>5936</v>
      </c>
      <c r="B94" s="62" t="s">
        <v>134</v>
      </c>
      <c r="C94" s="63">
        <f>VLOOKUP(A94,مهر!A:C,3,0)</f>
        <v>11</v>
      </c>
      <c r="D94" s="63">
        <v>1404</v>
      </c>
      <c r="E94" s="63">
        <v>8</v>
      </c>
      <c r="F94" s="64">
        <v>39800000</v>
      </c>
      <c r="G94" s="64">
        <v>150804500</v>
      </c>
      <c r="H94" s="64">
        <v>0</v>
      </c>
      <c r="I94" s="64">
        <v>0</v>
      </c>
    </row>
    <row r="95" spans="1:9" x14ac:dyDescent="0.25">
      <c r="A95" s="62">
        <v>5937</v>
      </c>
      <c r="B95" s="62" t="s">
        <v>285</v>
      </c>
      <c r="C95" s="63">
        <v>514</v>
      </c>
      <c r="D95" s="63">
        <v>1404</v>
      </c>
      <c r="E95" s="63">
        <v>8</v>
      </c>
      <c r="F95" s="64">
        <v>0</v>
      </c>
      <c r="G95" s="64">
        <v>30000000</v>
      </c>
      <c r="H95" s="64">
        <v>0</v>
      </c>
      <c r="I95" s="64">
        <v>4232000</v>
      </c>
    </row>
    <row r="96" spans="1:9" x14ac:dyDescent="0.25">
      <c r="A96" s="62">
        <v>5941</v>
      </c>
      <c r="B96" s="62" t="s">
        <v>137</v>
      </c>
      <c r="C96" s="63">
        <f>VLOOKUP(A96,مهر!A:C,3,0)</f>
        <v>184</v>
      </c>
      <c r="D96" s="63">
        <v>1404</v>
      </c>
      <c r="E96" s="63">
        <v>8</v>
      </c>
      <c r="F96" s="64">
        <v>9950000</v>
      </c>
      <c r="G96" s="64">
        <v>30000000</v>
      </c>
      <c r="H96" s="64">
        <v>0</v>
      </c>
      <c r="I96" s="64">
        <v>0</v>
      </c>
    </row>
    <row r="97" spans="1:9" x14ac:dyDescent="0.25">
      <c r="A97" s="62">
        <v>5944</v>
      </c>
      <c r="B97" s="62" t="s">
        <v>139</v>
      </c>
      <c r="C97" s="63">
        <f>VLOOKUP(A97,مهر!A:C,3,0)</f>
        <v>173</v>
      </c>
      <c r="D97" s="63">
        <v>1404</v>
      </c>
      <c r="E97" s="63">
        <v>8</v>
      </c>
      <c r="F97" s="64">
        <v>29850000</v>
      </c>
      <c r="G97" s="64">
        <v>0</v>
      </c>
      <c r="H97" s="64">
        <v>0</v>
      </c>
      <c r="I97" s="64">
        <v>0</v>
      </c>
    </row>
    <row r="98" spans="1:9" x14ac:dyDescent="0.25">
      <c r="A98" s="62">
        <v>5950</v>
      </c>
      <c r="B98" s="62" t="s">
        <v>141</v>
      </c>
      <c r="C98" s="63">
        <f>VLOOKUP(A98,مهر!A:C,3,0)</f>
        <v>308</v>
      </c>
      <c r="D98" s="63">
        <v>1404</v>
      </c>
      <c r="E98" s="63">
        <v>8</v>
      </c>
      <c r="F98" s="64">
        <v>39800000</v>
      </c>
      <c r="G98" s="64">
        <v>33333333</v>
      </c>
      <c r="H98" s="64">
        <v>0</v>
      </c>
      <c r="I98" s="64">
        <v>0</v>
      </c>
    </row>
    <row r="99" spans="1:9" x14ac:dyDescent="0.25">
      <c r="A99" s="62">
        <v>5952</v>
      </c>
      <c r="B99" s="62" t="s">
        <v>215</v>
      </c>
      <c r="C99" s="63">
        <v>307</v>
      </c>
      <c r="D99" s="63">
        <v>1404</v>
      </c>
      <c r="E99" s="63">
        <v>8</v>
      </c>
      <c r="F99" s="64">
        <v>0</v>
      </c>
      <c r="G99" s="64">
        <v>30000000</v>
      </c>
      <c r="H99" s="64">
        <v>0</v>
      </c>
      <c r="I99" s="64">
        <v>0</v>
      </c>
    </row>
    <row r="100" spans="1:9" x14ac:dyDescent="0.25">
      <c r="A100" s="62">
        <v>5957</v>
      </c>
      <c r="B100" s="62" t="s">
        <v>142</v>
      </c>
      <c r="C100" s="63">
        <f>VLOOKUP(A100,مهر!A:C,3,0)</f>
        <v>88</v>
      </c>
      <c r="D100" s="63">
        <v>1404</v>
      </c>
      <c r="E100" s="63">
        <v>8</v>
      </c>
      <c r="F100" s="64">
        <v>9950000</v>
      </c>
      <c r="G100" s="64">
        <v>30000000</v>
      </c>
      <c r="H100" s="64">
        <v>0</v>
      </c>
      <c r="I100" s="64">
        <v>2480687</v>
      </c>
    </row>
    <row r="101" spans="1:9" x14ac:dyDescent="0.25">
      <c r="A101" s="62">
        <v>5958</v>
      </c>
      <c r="B101" s="62" t="s">
        <v>143</v>
      </c>
      <c r="C101" s="63">
        <v>309</v>
      </c>
      <c r="D101" s="63">
        <v>1404</v>
      </c>
      <c r="E101" s="63">
        <v>8</v>
      </c>
      <c r="F101" s="64">
        <v>0</v>
      </c>
      <c r="G101" s="64">
        <v>30000000</v>
      </c>
      <c r="H101" s="64">
        <v>0</v>
      </c>
      <c r="I101" s="64">
        <v>3000000</v>
      </c>
    </row>
    <row r="102" spans="1:9" x14ac:dyDescent="0.25">
      <c r="A102" s="62">
        <v>5960</v>
      </c>
      <c r="B102" s="62" t="s">
        <v>144</v>
      </c>
      <c r="C102" s="63">
        <f>VLOOKUP(A102,مهر!A:C,3,0)</f>
        <v>115</v>
      </c>
      <c r="D102" s="63">
        <v>1404</v>
      </c>
      <c r="E102" s="63">
        <v>8</v>
      </c>
      <c r="F102" s="64">
        <v>39800000</v>
      </c>
      <c r="G102" s="64">
        <v>0</v>
      </c>
      <c r="H102" s="64">
        <v>0</v>
      </c>
      <c r="I102" s="64">
        <v>0</v>
      </c>
    </row>
    <row r="103" spans="1:9" x14ac:dyDescent="0.25">
      <c r="A103" s="62">
        <v>5961</v>
      </c>
      <c r="B103" s="62" t="s">
        <v>145</v>
      </c>
      <c r="C103" s="63">
        <f>VLOOKUP(A103,مهر!A:C,3,0)</f>
        <v>1</v>
      </c>
      <c r="D103" s="63">
        <v>1404</v>
      </c>
      <c r="E103" s="63">
        <v>8</v>
      </c>
      <c r="F103" s="64">
        <v>39800000</v>
      </c>
      <c r="G103" s="64">
        <v>30000000</v>
      </c>
      <c r="H103" s="64">
        <v>0</v>
      </c>
      <c r="I103" s="64">
        <v>0</v>
      </c>
    </row>
    <row r="104" spans="1:9" x14ac:dyDescent="0.25">
      <c r="A104" s="62">
        <v>5962</v>
      </c>
      <c r="B104" s="62" t="s">
        <v>146</v>
      </c>
      <c r="C104" s="63">
        <f>VLOOKUP(A104,مهر!A:C,3,0)</f>
        <v>33</v>
      </c>
      <c r="D104" s="63">
        <v>1404</v>
      </c>
      <c r="E104" s="63">
        <v>8</v>
      </c>
      <c r="F104" s="64">
        <v>19900000</v>
      </c>
      <c r="G104" s="64">
        <v>40000000</v>
      </c>
      <c r="H104" s="64">
        <v>0</v>
      </c>
      <c r="I104" s="64">
        <v>4218000</v>
      </c>
    </row>
    <row r="105" spans="1:9" x14ac:dyDescent="0.25">
      <c r="A105" s="62">
        <v>5963</v>
      </c>
      <c r="B105" s="62" t="s">
        <v>217</v>
      </c>
      <c r="C105" s="63">
        <f>VLOOKUP(A105,مهر!A:C,3,0)</f>
        <v>310</v>
      </c>
      <c r="D105" s="63">
        <v>1404</v>
      </c>
      <c r="E105" s="63">
        <v>8</v>
      </c>
      <c r="F105" s="64">
        <v>0</v>
      </c>
      <c r="G105" s="64">
        <v>0</v>
      </c>
      <c r="H105" s="64">
        <v>0</v>
      </c>
      <c r="I105" s="64">
        <v>5927000</v>
      </c>
    </row>
    <row r="106" spans="1:9" x14ac:dyDescent="0.25">
      <c r="A106" s="62">
        <v>5966</v>
      </c>
      <c r="B106" s="62" t="s">
        <v>147</v>
      </c>
      <c r="C106" s="63">
        <f>VLOOKUP(A106,مهر!A:C,3,0)</f>
        <v>172</v>
      </c>
      <c r="D106" s="63">
        <v>1404</v>
      </c>
      <c r="E106" s="63">
        <v>8</v>
      </c>
      <c r="F106" s="64">
        <v>19900000</v>
      </c>
      <c r="G106" s="64">
        <v>0</v>
      </c>
      <c r="H106" s="64">
        <v>0</v>
      </c>
      <c r="I106" s="64">
        <v>0</v>
      </c>
    </row>
    <row r="107" spans="1:9" x14ac:dyDescent="0.25">
      <c r="A107" s="62">
        <v>5968</v>
      </c>
      <c r="B107" s="62" t="s">
        <v>149</v>
      </c>
      <c r="C107" s="63">
        <f>VLOOKUP(A107,مهر!A:C,3,0)</f>
        <v>202</v>
      </c>
      <c r="D107" s="63">
        <v>1404</v>
      </c>
      <c r="E107" s="63">
        <v>8</v>
      </c>
      <c r="F107" s="64">
        <v>29850000</v>
      </c>
      <c r="G107" s="64">
        <v>70000000</v>
      </c>
      <c r="H107" s="64">
        <v>0</v>
      </c>
      <c r="I107" s="64">
        <v>0</v>
      </c>
    </row>
    <row r="108" spans="1:9" x14ac:dyDescent="0.25">
      <c r="A108" s="62">
        <v>5976</v>
      </c>
      <c r="B108" s="62" t="s">
        <v>150</v>
      </c>
      <c r="C108" s="63">
        <f>VLOOKUP(A108,مهر!A:C,3,0)</f>
        <v>326</v>
      </c>
      <c r="D108" s="63">
        <v>1404</v>
      </c>
      <c r="E108" s="63">
        <v>8</v>
      </c>
      <c r="F108" s="64">
        <v>39800000</v>
      </c>
      <c r="G108" s="64">
        <v>0</v>
      </c>
      <c r="H108" s="64">
        <v>0</v>
      </c>
      <c r="I108" s="64">
        <v>1500000</v>
      </c>
    </row>
    <row r="109" spans="1:9" x14ac:dyDescent="0.25">
      <c r="A109" s="62">
        <v>5981</v>
      </c>
      <c r="B109" s="62" t="s">
        <v>222</v>
      </c>
      <c r="C109" s="63">
        <f>VLOOKUP(A109,مهر!A:C,3,0)</f>
        <v>335</v>
      </c>
      <c r="D109" s="63">
        <v>1404</v>
      </c>
      <c r="E109" s="63">
        <v>8</v>
      </c>
      <c r="F109" s="64">
        <v>0</v>
      </c>
      <c r="G109" s="64">
        <v>0</v>
      </c>
      <c r="H109" s="64">
        <v>0</v>
      </c>
      <c r="I109" s="64">
        <v>4463000</v>
      </c>
    </row>
    <row r="110" spans="1:9" x14ac:dyDescent="0.25">
      <c r="A110" s="62">
        <v>5982</v>
      </c>
      <c r="B110" s="62" t="s">
        <v>151</v>
      </c>
      <c r="C110" s="63">
        <v>332</v>
      </c>
      <c r="D110" s="63">
        <v>1404</v>
      </c>
      <c r="E110" s="63">
        <v>8</v>
      </c>
      <c r="F110" s="64">
        <v>0</v>
      </c>
      <c r="G110" s="64">
        <v>30000000</v>
      </c>
      <c r="H110" s="64">
        <v>0</v>
      </c>
      <c r="I110" s="64">
        <v>0</v>
      </c>
    </row>
    <row r="111" spans="1:9" x14ac:dyDescent="0.25">
      <c r="A111" s="62">
        <v>5988</v>
      </c>
      <c r="B111" s="62" t="s">
        <v>152</v>
      </c>
      <c r="C111" s="63">
        <f>VLOOKUP(A111,مهر!A:C,3,0)</f>
        <v>323</v>
      </c>
      <c r="D111" s="63">
        <v>1404</v>
      </c>
      <c r="E111" s="63">
        <v>8</v>
      </c>
      <c r="F111" s="64">
        <v>49750000</v>
      </c>
      <c r="G111" s="64">
        <v>130000000</v>
      </c>
      <c r="H111" s="64">
        <v>0</v>
      </c>
      <c r="I111" s="64">
        <v>0</v>
      </c>
    </row>
    <row r="112" spans="1:9" x14ac:dyDescent="0.25">
      <c r="A112" s="62">
        <v>5995</v>
      </c>
      <c r="B112" s="62" t="s">
        <v>155</v>
      </c>
      <c r="C112" s="63">
        <f>VLOOKUP(A112,مهر!A:C,3,0)</f>
        <v>328</v>
      </c>
      <c r="D112" s="63">
        <v>1404</v>
      </c>
      <c r="E112" s="63">
        <v>8</v>
      </c>
      <c r="F112" s="64">
        <v>9950000</v>
      </c>
      <c r="G112" s="64">
        <v>0</v>
      </c>
      <c r="H112" s="64">
        <v>0</v>
      </c>
      <c r="I112" s="64">
        <v>3000000</v>
      </c>
    </row>
    <row r="113" spans="1:11" x14ac:dyDescent="0.25">
      <c r="A113" s="62">
        <v>6000</v>
      </c>
      <c r="B113" s="62" t="s">
        <v>157</v>
      </c>
      <c r="C113" s="63">
        <v>363</v>
      </c>
      <c r="D113" s="63">
        <v>1404</v>
      </c>
      <c r="E113" s="63">
        <v>8</v>
      </c>
      <c r="F113" s="64">
        <v>0</v>
      </c>
      <c r="G113" s="64">
        <v>0</v>
      </c>
      <c r="H113" s="64">
        <v>0</v>
      </c>
      <c r="I113" s="64">
        <v>3000000</v>
      </c>
    </row>
    <row r="114" spans="1:11" x14ac:dyDescent="0.25">
      <c r="A114" s="62">
        <v>6001</v>
      </c>
      <c r="B114" s="62" t="s">
        <v>227</v>
      </c>
      <c r="C114" s="63">
        <f>VLOOKUP(A114,مهر!A:C,3,0)</f>
        <v>366</v>
      </c>
      <c r="D114" s="63">
        <v>1404</v>
      </c>
      <c r="E114" s="63">
        <v>8</v>
      </c>
      <c r="F114" s="64">
        <v>49750000</v>
      </c>
      <c r="G114" s="64">
        <v>0</v>
      </c>
      <c r="H114" s="64">
        <v>0</v>
      </c>
      <c r="I114" s="64">
        <v>0</v>
      </c>
    </row>
    <row r="115" spans="1:11" x14ac:dyDescent="0.25">
      <c r="A115" s="62">
        <v>6004</v>
      </c>
      <c r="B115" s="62" t="s">
        <v>158</v>
      </c>
      <c r="C115" s="63">
        <f>VLOOKUP(A115,مهر!A:C,3,0)</f>
        <v>352</v>
      </c>
      <c r="D115" s="63">
        <v>1404</v>
      </c>
      <c r="E115" s="63">
        <v>8</v>
      </c>
      <c r="F115" s="64">
        <v>39800000</v>
      </c>
      <c r="G115" s="64">
        <v>0</v>
      </c>
      <c r="H115" s="64">
        <v>0</v>
      </c>
      <c r="I115" s="64">
        <v>0</v>
      </c>
    </row>
    <row r="116" spans="1:11" x14ac:dyDescent="0.25">
      <c r="A116" s="62">
        <v>6006</v>
      </c>
      <c r="B116" s="62" t="s">
        <v>159</v>
      </c>
      <c r="C116" s="63">
        <f>VLOOKUP(A116,مهر!A:C,3,0)</f>
        <v>341</v>
      </c>
      <c r="D116" s="63">
        <v>1404</v>
      </c>
      <c r="E116" s="63">
        <v>8</v>
      </c>
      <c r="F116" s="64">
        <v>9950000</v>
      </c>
      <c r="G116" s="64">
        <v>0</v>
      </c>
      <c r="H116" s="64">
        <v>0</v>
      </c>
      <c r="I116" s="64">
        <v>3000000</v>
      </c>
    </row>
    <row r="117" spans="1:11" x14ac:dyDescent="0.25">
      <c r="A117" s="62">
        <v>6011</v>
      </c>
      <c r="B117" s="62" t="s">
        <v>160</v>
      </c>
      <c r="C117" s="63">
        <f>VLOOKUP(A117,مهر!A:C,3,0)</f>
        <v>345</v>
      </c>
      <c r="D117" s="63">
        <v>1404</v>
      </c>
      <c r="E117" s="63">
        <v>8</v>
      </c>
      <c r="F117" s="64">
        <v>0</v>
      </c>
      <c r="G117" s="64">
        <v>40000000</v>
      </c>
      <c r="H117" s="64">
        <v>0</v>
      </c>
      <c r="I117" s="64">
        <v>93094700</v>
      </c>
      <c r="K117" s="65"/>
    </row>
    <row r="118" spans="1:11" x14ac:dyDescent="0.25">
      <c r="A118" s="62">
        <v>6015</v>
      </c>
      <c r="B118" s="62" t="s">
        <v>162</v>
      </c>
      <c r="C118" s="63">
        <f>VLOOKUP(A118,مهر!A:C,3,0)</f>
        <v>359</v>
      </c>
      <c r="D118" s="63">
        <v>1404</v>
      </c>
      <c r="E118" s="63">
        <v>8</v>
      </c>
      <c r="F118" s="64">
        <v>0</v>
      </c>
      <c r="G118" s="64">
        <v>70000000</v>
      </c>
      <c r="H118" s="64">
        <v>0</v>
      </c>
      <c r="I118" s="64">
        <v>0</v>
      </c>
    </row>
    <row r="119" spans="1:11" x14ac:dyDescent="0.25">
      <c r="A119" s="62">
        <v>6016</v>
      </c>
      <c r="B119" s="62" t="s">
        <v>163</v>
      </c>
      <c r="C119" s="63">
        <f>VLOOKUP(A119,مهر!A:C,3,0)</f>
        <v>375</v>
      </c>
      <c r="D119" s="63">
        <v>1404</v>
      </c>
      <c r="E119" s="63">
        <v>8</v>
      </c>
      <c r="F119" s="64">
        <v>9950000</v>
      </c>
      <c r="G119" s="64">
        <v>30000000</v>
      </c>
      <c r="H119" s="64">
        <v>0</v>
      </c>
      <c r="I119" s="64">
        <v>4500000</v>
      </c>
    </row>
    <row r="120" spans="1:11" x14ac:dyDescent="0.25">
      <c r="A120" s="62">
        <v>6020</v>
      </c>
      <c r="B120" s="62" t="s">
        <v>167</v>
      </c>
      <c r="C120" s="63">
        <f>VLOOKUP(A120,مهر!A:C,3,0)</f>
        <v>425</v>
      </c>
      <c r="D120" s="63">
        <v>1404</v>
      </c>
      <c r="E120" s="63">
        <v>8</v>
      </c>
      <c r="F120" s="64">
        <v>19900000</v>
      </c>
      <c r="G120" s="64">
        <v>0</v>
      </c>
      <c r="H120" s="64">
        <v>13783502</v>
      </c>
      <c r="I120" s="64">
        <v>2689000</v>
      </c>
    </row>
    <row r="121" spans="1:11" x14ac:dyDescent="0.25">
      <c r="A121" s="62">
        <v>6026</v>
      </c>
      <c r="B121" s="62" t="s">
        <v>170</v>
      </c>
      <c r="C121" s="63">
        <f>VLOOKUP(A121,مهر!A:C,3,0)</f>
        <v>370</v>
      </c>
      <c r="D121" s="63">
        <v>1404</v>
      </c>
      <c r="E121" s="63">
        <v>8</v>
      </c>
      <c r="F121" s="64">
        <v>0</v>
      </c>
      <c r="G121" s="64">
        <v>40000000</v>
      </c>
      <c r="H121" s="64">
        <v>0</v>
      </c>
      <c r="I121" s="64">
        <v>79918332</v>
      </c>
    </row>
    <row r="122" spans="1:11" x14ac:dyDescent="0.25">
      <c r="A122" s="62">
        <v>6028</v>
      </c>
      <c r="B122" s="62" t="s">
        <v>171</v>
      </c>
      <c r="C122" s="63">
        <f>VLOOKUP(A122,مهر!A:C,3,0)</f>
        <v>398</v>
      </c>
      <c r="D122" s="63">
        <v>1404</v>
      </c>
      <c r="E122" s="63">
        <v>8</v>
      </c>
      <c r="F122" s="64">
        <v>19900000</v>
      </c>
      <c r="G122" s="64">
        <v>30000000</v>
      </c>
      <c r="H122" s="64">
        <v>0</v>
      </c>
      <c r="I122" s="64">
        <v>0</v>
      </c>
    </row>
    <row r="123" spans="1:11" x14ac:dyDescent="0.25">
      <c r="A123" s="62">
        <v>6035</v>
      </c>
      <c r="B123" s="62" t="s">
        <v>173</v>
      </c>
      <c r="C123" s="63">
        <v>385</v>
      </c>
      <c r="D123" s="63">
        <v>1404</v>
      </c>
      <c r="E123" s="63">
        <v>8</v>
      </c>
      <c r="F123" s="64">
        <v>0</v>
      </c>
      <c r="G123" s="64">
        <v>0</v>
      </c>
      <c r="H123" s="64">
        <v>0</v>
      </c>
      <c r="I123" s="64">
        <v>1160000</v>
      </c>
    </row>
    <row r="124" spans="1:11" x14ac:dyDescent="0.25">
      <c r="A124" s="62">
        <v>6037</v>
      </c>
      <c r="B124" s="62" t="s">
        <v>174</v>
      </c>
      <c r="C124" s="63">
        <f>VLOOKUP(A124,مهر!A:C,3,0)</f>
        <v>387</v>
      </c>
      <c r="D124" s="63">
        <v>1404</v>
      </c>
      <c r="E124" s="63">
        <v>8</v>
      </c>
      <c r="F124" s="64">
        <v>39800000</v>
      </c>
      <c r="G124" s="64">
        <v>63333333</v>
      </c>
      <c r="H124" s="64">
        <v>0</v>
      </c>
      <c r="I124" s="64">
        <v>0</v>
      </c>
    </row>
    <row r="125" spans="1:11" x14ac:dyDescent="0.25">
      <c r="A125" s="62">
        <v>6041</v>
      </c>
      <c r="B125" s="62" t="s">
        <v>175</v>
      </c>
      <c r="C125" s="63">
        <f>VLOOKUP(A125,مهر!A:C,3,0)</f>
        <v>338</v>
      </c>
      <c r="D125" s="63">
        <v>1404</v>
      </c>
      <c r="E125" s="63">
        <v>8</v>
      </c>
      <c r="F125" s="64">
        <v>39800000</v>
      </c>
      <c r="G125" s="64">
        <v>0</v>
      </c>
      <c r="H125" s="64">
        <v>0</v>
      </c>
      <c r="I125" s="64">
        <v>0</v>
      </c>
    </row>
    <row r="126" spans="1:11" x14ac:dyDescent="0.25">
      <c r="A126" s="62">
        <v>6042</v>
      </c>
      <c r="B126" s="62" t="s">
        <v>176</v>
      </c>
      <c r="C126" s="63">
        <f>VLOOKUP(A126,مهر!A:C,3,0)</f>
        <v>378</v>
      </c>
      <c r="D126" s="63">
        <v>1404</v>
      </c>
      <c r="E126" s="63">
        <v>8</v>
      </c>
      <c r="F126" s="64">
        <v>9950000</v>
      </c>
      <c r="G126" s="64">
        <v>0</v>
      </c>
      <c r="H126" s="64">
        <v>0</v>
      </c>
      <c r="I126" s="64">
        <v>1290000</v>
      </c>
    </row>
    <row r="127" spans="1:11" x14ac:dyDescent="0.25">
      <c r="A127" s="62">
        <v>6044</v>
      </c>
      <c r="B127" s="62" t="s">
        <v>177</v>
      </c>
      <c r="C127" s="63">
        <v>393</v>
      </c>
      <c r="D127" s="63">
        <v>1404</v>
      </c>
      <c r="E127" s="63">
        <v>8</v>
      </c>
      <c r="F127" s="64">
        <v>0</v>
      </c>
      <c r="G127" s="64">
        <v>0</v>
      </c>
      <c r="H127" s="64">
        <v>0</v>
      </c>
      <c r="I127" s="64">
        <v>2864000</v>
      </c>
    </row>
    <row r="128" spans="1:11" x14ac:dyDescent="0.25">
      <c r="A128" s="62">
        <v>6045</v>
      </c>
      <c r="B128" s="62" t="s">
        <v>178</v>
      </c>
      <c r="C128" s="63">
        <f>VLOOKUP(A128,مهر!A:C,3,0)</f>
        <v>388</v>
      </c>
      <c r="D128" s="63">
        <v>1404</v>
      </c>
      <c r="E128" s="63">
        <v>8</v>
      </c>
      <c r="F128" s="64">
        <v>19900000</v>
      </c>
      <c r="G128" s="64">
        <v>0</v>
      </c>
      <c r="H128" s="64">
        <v>0</v>
      </c>
      <c r="I128" s="64">
        <v>0</v>
      </c>
    </row>
    <row r="129" spans="1:9" x14ac:dyDescent="0.25">
      <c r="A129" s="62">
        <v>6046</v>
      </c>
      <c r="B129" s="62" t="s">
        <v>179</v>
      </c>
      <c r="C129" s="63">
        <f>VLOOKUP(A129,مهر!A:C,3,0)</f>
        <v>396</v>
      </c>
      <c r="D129" s="63">
        <v>1404</v>
      </c>
      <c r="E129" s="63">
        <v>8</v>
      </c>
      <c r="F129" s="64">
        <v>0</v>
      </c>
      <c r="G129" s="64">
        <v>0</v>
      </c>
      <c r="H129" s="64">
        <v>0</v>
      </c>
      <c r="I129" s="64">
        <v>2726000</v>
      </c>
    </row>
    <row r="130" spans="1:9" x14ac:dyDescent="0.25">
      <c r="A130" s="62">
        <v>6055</v>
      </c>
      <c r="B130" s="62" t="s">
        <v>180</v>
      </c>
      <c r="C130" s="63">
        <f>VLOOKUP(A130,مهر!A:C,3,0)</f>
        <v>400</v>
      </c>
      <c r="D130" s="63">
        <v>1404</v>
      </c>
      <c r="E130" s="63">
        <v>8</v>
      </c>
      <c r="F130" s="64">
        <v>9950000</v>
      </c>
      <c r="G130" s="64">
        <v>30000000</v>
      </c>
      <c r="H130" s="64">
        <v>0</v>
      </c>
      <c r="I130" s="64">
        <v>1463000</v>
      </c>
    </row>
    <row r="131" spans="1:9" x14ac:dyDescent="0.25">
      <c r="A131" s="62">
        <v>6057</v>
      </c>
      <c r="B131" s="62" t="s">
        <v>181</v>
      </c>
      <c r="C131" s="63">
        <v>395</v>
      </c>
      <c r="D131" s="63">
        <v>1404</v>
      </c>
      <c r="E131" s="63">
        <v>8</v>
      </c>
      <c r="F131" s="64">
        <v>0</v>
      </c>
      <c r="G131" s="64">
        <v>0</v>
      </c>
      <c r="H131" s="64">
        <v>0</v>
      </c>
      <c r="I131" s="64">
        <v>7276900</v>
      </c>
    </row>
    <row r="132" spans="1:9" x14ac:dyDescent="0.25">
      <c r="A132" s="62">
        <v>6059</v>
      </c>
      <c r="B132" s="62" t="s">
        <v>182</v>
      </c>
      <c r="C132" s="63">
        <f>VLOOKUP(A132,مهر!A:C,3,0)</f>
        <v>201</v>
      </c>
      <c r="D132" s="63">
        <v>1404</v>
      </c>
      <c r="E132" s="63">
        <v>8</v>
      </c>
      <c r="F132" s="64">
        <v>0</v>
      </c>
      <c r="G132" s="64">
        <v>60000000</v>
      </c>
      <c r="H132" s="64">
        <v>25400739</v>
      </c>
      <c r="I132" s="64">
        <v>0</v>
      </c>
    </row>
    <row r="133" spans="1:9" x14ac:dyDescent="0.25">
      <c r="A133" s="62">
        <v>6061</v>
      </c>
      <c r="B133" s="62" t="s">
        <v>183</v>
      </c>
      <c r="C133" s="63">
        <f>VLOOKUP(A133,مهر!A:C,3,0)</f>
        <v>407</v>
      </c>
      <c r="D133" s="63">
        <v>1404</v>
      </c>
      <c r="E133" s="63">
        <v>8</v>
      </c>
      <c r="F133" s="64">
        <v>9950000</v>
      </c>
      <c r="G133" s="64">
        <v>40000000</v>
      </c>
      <c r="H133" s="64">
        <v>0</v>
      </c>
      <c r="I133" s="64">
        <v>2926000</v>
      </c>
    </row>
    <row r="134" spans="1:9" x14ac:dyDescent="0.25">
      <c r="A134" s="62">
        <v>6064</v>
      </c>
      <c r="B134" s="62" t="s">
        <v>269</v>
      </c>
      <c r="C134" s="63">
        <f>VLOOKUP(A134,مهر!A:C,3,0)</f>
        <v>412</v>
      </c>
      <c r="D134" s="63">
        <v>1404</v>
      </c>
      <c r="E134" s="63">
        <v>8</v>
      </c>
      <c r="F134" s="64">
        <v>19900000</v>
      </c>
      <c r="G134" s="64">
        <v>0</v>
      </c>
      <c r="H134" s="64">
        <v>0</v>
      </c>
      <c r="I134" s="64">
        <v>0</v>
      </c>
    </row>
    <row r="135" spans="1:9" x14ac:dyDescent="0.25">
      <c r="A135" s="62">
        <v>6069</v>
      </c>
      <c r="B135" s="62" t="s">
        <v>185</v>
      </c>
      <c r="C135" s="63">
        <f>VLOOKUP(A135,مهر!A:C,3,0)</f>
        <v>418</v>
      </c>
      <c r="D135" s="63">
        <v>1404</v>
      </c>
      <c r="E135" s="63">
        <v>8</v>
      </c>
      <c r="F135" s="64">
        <v>19900000</v>
      </c>
      <c r="G135" s="64">
        <v>0</v>
      </c>
      <c r="H135" s="64">
        <v>0</v>
      </c>
      <c r="I135" s="64">
        <v>0</v>
      </c>
    </row>
    <row r="136" spans="1:9" x14ac:dyDescent="0.25">
      <c r="A136" s="62">
        <v>6072</v>
      </c>
      <c r="B136" s="62" t="s">
        <v>186</v>
      </c>
      <c r="C136" s="63">
        <v>426</v>
      </c>
      <c r="D136" s="63">
        <v>1404</v>
      </c>
      <c r="E136" s="63">
        <v>8</v>
      </c>
      <c r="F136" s="64">
        <v>0</v>
      </c>
      <c r="G136" s="64">
        <v>30000000</v>
      </c>
      <c r="H136" s="64">
        <v>0</v>
      </c>
      <c r="I136" s="64">
        <v>0</v>
      </c>
    </row>
    <row r="137" spans="1:9" x14ac:dyDescent="0.25">
      <c r="A137" s="62">
        <v>6075</v>
      </c>
      <c r="B137" s="62" t="s">
        <v>187</v>
      </c>
      <c r="C137" s="63">
        <f>VLOOKUP(A137,مهر!A:C,3,0)</f>
        <v>415</v>
      </c>
      <c r="D137" s="63">
        <v>1404</v>
      </c>
      <c r="E137" s="63">
        <v>8</v>
      </c>
      <c r="F137" s="64">
        <v>0</v>
      </c>
      <c r="G137" s="64">
        <v>47718500</v>
      </c>
      <c r="H137" s="64">
        <v>0</v>
      </c>
      <c r="I137" s="64">
        <v>0</v>
      </c>
    </row>
    <row r="138" spans="1:9" x14ac:dyDescent="0.25">
      <c r="A138" s="62">
        <v>6079</v>
      </c>
      <c r="B138" s="62" t="s">
        <v>189</v>
      </c>
      <c r="C138" s="63">
        <f>VLOOKUP(A138,مهر!A:C,3,0)</f>
        <v>433</v>
      </c>
      <c r="D138" s="63">
        <v>1404</v>
      </c>
      <c r="E138" s="63">
        <v>8</v>
      </c>
      <c r="F138" s="64">
        <v>29850000</v>
      </c>
      <c r="G138" s="64">
        <v>0</v>
      </c>
      <c r="H138" s="64">
        <v>0</v>
      </c>
      <c r="I138" s="64">
        <v>0</v>
      </c>
    </row>
    <row r="139" spans="1:9" x14ac:dyDescent="0.25">
      <c r="A139" s="62">
        <v>6084</v>
      </c>
      <c r="B139" s="62" t="s">
        <v>190</v>
      </c>
      <c r="C139" s="63">
        <f>VLOOKUP(A139,مهر!A:C,3,0)</f>
        <v>416</v>
      </c>
      <c r="D139" s="63">
        <v>1404</v>
      </c>
      <c r="E139" s="63">
        <v>8</v>
      </c>
      <c r="F139" s="64">
        <v>19900000</v>
      </c>
      <c r="G139" s="64">
        <v>0</v>
      </c>
      <c r="H139" s="64">
        <v>0</v>
      </c>
      <c r="I139" s="64">
        <v>0</v>
      </c>
    </row>
    <row r="140" spans="1:9" x14ac:dyDescent="0.25">
      <c r="A140" s="62">
        <v>6087</v>
      </c>
      <c r="B140" s="62" t="s">
        <v>191</v>
      </c>
      <c r="C140" s="63">
        <f>VLOOKUP(A140,مهر!A:C,3,0)</f>
        <v>443</v>
      </c>
      <c r="D140" s="63">
        <v>1404</v>
      </c>
      <c r="E140" s="63">
        <v>8</v>
      </c>
      <c r="F140" s="64">
        <v>19900000</v>
      </c>
      <c r="G140" s="64">
        <v>80000000</v>
      </c>
      <c r="H140" s="64">
        <v>0</v>
      </c>
      <c r="I140" s="64">
        <v>7495000</v>
      </c>
    </row>
    <row r="141" spans="1:9" x14ac:dyDescent="0.25">
      <c r="A141" s="62">
        <v>6089</v>
      </c>
      <c r="B141" s="62" t="s">
        <v>193</v>
      </c>
      <c r="C141" s="63">
        <f>VLOOKUP(A141,مهر!A:C,3,0)</f>
        <v>440</v>
      </c>
      <c r="D141" s="63">
        <v>1404</v>
      </c>
      <c r="E141" s="63">
        <v>8</v>
      </c>
      <c r="F141" s="64">
        <v>49750000</v>
      </c>
      <c r="G141" s="64">
        <v>30000000</v>
      </c>
      <c r="H141" s="64">
        <v>724350</v>
      </c>
      <c r="I141" s="64">
        <v>3000000</v>
      </c>
    </row>
    <row r="142" spans="1:9" x14ac:dyDescent="0.25">
      <c r="A142" s="62">
        <v>6092</v>
      </c>
      <c r="B142" s="62" t="s">
        <v>194</v>
      </c>
      <c r="C142" s="63">
        <f>VLOOKUP(A142,مهر!A:C,3,0)</f>
        <v>445</v>
      </c>
      <c r="D142" s="63">
        <v>1404</v>
      </c>
      <c r="E142" s="63">
        <v>8</v>
      </c>
      <c r="F142" s="64">
        <v>9950000</v>
      </c>
      <c r="G142" s="64">
        <v>0</v>
      </c>
      <c r="H142" s="64">
        <v>0</v>
      </c>
      <c r="I142" s="64">
        <v>0</v>
      </c>
    </row>
    <row r="143" spans="1:9" x14ac:dyDescent="0.25">
      <c r="A143" s="62">
        <v>6093</v>
      </c>
      <c r="B143" s="62" t="s">
        <v>195</v>
      </c>
      <c r="C143" s="63">
        <f>VLOOKUP(A143,مهر!A:C,3,0)</f>
        <v>447</v>
      </c>
      <c r="D143" s="63">
        <v>1404</v>
      </c>
      <c r="E143" s="63">
        <v>8</v>
      </c>
      <c r="F143" s="64">
        <v>39800000</v>
      </c>
      <c r="G143" s="64">
        <v>77717000</v>
      </c>
      <c r="H143" s="64">
        <v>0</v>
      </c>
      <c r="I143" s="64">
        <v>0</v>
      </c>
    </row>
    <row r="144" spans="1:9" x14ac:dyDescent="0.25">
      <c r="A144" s="62">
        <v>6094</v>
      </c>
      <c r="B144" s="62" t="s">
        <v>196</v>
      </c>
      <c r="C144" s="63">
        <f>VLOOKUP(A144,مهر!A:C,3,0)</f>
        <v>448</v>
      </c>
      <c r="D144" s="63">
        <v>1404</v>
      </c>
      <c r="E144" s="63">
        <v>8</v>
      </c>
      <c r="F144" s="64">
        <v>49750000</v>
      </c>
      <c r="G144" s="64">
        <v>30000000</v>
      </c>
      <c r="H144" s="64">
        <v>0</v>
      </c>
      <c r="I144" s="64">
        <v>0</v>
      </c>
    </row>
    <row r="145" spans="1:9" x14ac:dyDescent="0.25">
      <c r="A145" s="62">
        <v>6099</v>
      </c>
      <c r="B145" s="62" t="s">
        <v>199</v>
      </c>
      <c r="C145" s="63">
        <f>VLOOKUP(A145,مهر!A:C,3,0)</f>
        <v>468</v>
      </c>
      <c r="D145" s="63">
        <v>1404</v>
      </c>
      <c r="E145" s="63">
        <v>8</v>
      </c>
      <c r="F145" s="64">
        <v>79600000</v>
      </c>
      <c r="G145" s="64">
        <v>100000000</v>
      </c>
      <c r="H145" s="64">
        <v>0</v>
      </c>
      <c r="I145" s="64">
        <v>10000000</v>
      </c>
    </row>
    <row r="146" spans="1:9" x14ac:dyDescent="0.25">
      <c r="A146" s="62">
        <v>6100</v>
      </c>
      <c r="B146" s="62" t="s">
        <v>235</v>
      </c>
      <c r="C146" s="63">
        <v>460</v>
      </c>
      <c r="D146" s="63">
        <v>1404</v>
      </c>
      <c r="E146" s="63">
        <v>8</v>
      </c>
      <c r="F146" s="64">
        <v>0</v>
      </c>
      <c r="G146" s="64">
        <v>30000000</v>
      </c>
      <c r="H146" s="64">
        <v>0</v>
      </c>
      <c r="I146" s="64">
        <v>1500000</v>
      </c>
    </row>
    <row r="147" spans="1:9" x14ac:dyDescent="0.25">
      <c r="A147" s="62">
        <v>6102</v>
      </c>
      <c r="B147" s="62" t="s">
        <v>200</v>
      </c>
      <c r="C147" s="63">
        <f>VLOOKUP(A147,مهر!A:C,3,0)</f>
        <v>459</v>
      </c>
      <c r="D147" s="63">
        <v>1404</v>
      </c>
      <c r="E147" s="63">
        <v>8</v>
      </c>
      <c r="F147" s="64">
        <v>19900000</v>
      </c>
      <c r="G147" s="64">
        <v>30000000</v>
      </c>
      <c r="H147" s="64">
        <v>0</v>
      </c>
      <c r="I147" s="64">
        <v>1500000</v>
      </c>
    </row>
    <row r="148" spans="1:9" x14ac:dyDescent="0.25">
      <c r="A148" s="62">
        <v>6103</v>
      </c>
      <c r="B148" s="62" t="s">
        <v>201</v>
      </c>
      <c r="C148" s="63">
        <f>VLOOKUP(A148,مهر!A:C,3,0)</f>
        <v>469</v>
      </c>
      <c r="D148" s="63">
        <v>1404</v>
      </c>
      <c r="E148" s="63">
        <v>8</v>
      </c>
      <c r="F148" s="64">
        <v>29850000</v>
      </c>
      <c r="G148" s="64">
        <v>0</v>
      </c>
      <c r="H148" s="64">
        <v>0</v>
      </c>
      <c r="I148" s="64">
        <v>3400000</v>
      </c>
    </row>
    <row r="149" spans="1:9" x14ac:dyDescent="0.25">
      <c r="A149" s="62">
        <v>6104</v>
      </c>
      <c r="B149" s="62" t="s">
        <v>202</v>
      </c>
      <c r="C149" s="63">
        <f>VLOOKUP(A149,مهر!A:C,3,0)</f>
        <v>465</v>
      </c>
      <c r="D149" s="63">
        <v>1404</v>
      </c>
      <c r="E149" s="63">
        <v>8</v>
      </c>
      <c r="F149" s="64">
        <v>9950000</v>
      </c>
      <c r="G149" s="64">
        <v>0</v>
      </c>
      <c r="H149" s="64">
        <v>0</v>
      </c>
      <c r="I149" s="64">
        <v>4500000</v>
      </c>
    </row>
    <row r="150" spans="1:9" x14ac:dyDescent="0.25">
      <c r="A150" s="62">
        <v>6105</v>
      </c>
      <c r="B150" s="62" t="s">
        <v>245</v>
      </c>
      <c r="C150" s="63">
        <f>VLOOKUP(A150,مهر!A:C,3,0)</f>
        <v>461</v>
      </c>
      <c r="D150" s="63">
        <v>1404</v>
      </c>
      <c r="E150" s="63">
        <v>8</v>
      </c>
      <c r="F150" s="64">
        <v>9950000</v>
      </c>
      <c r="G150" s="64">
        <v>0</v>
      </c>
      <c r="H150" s="64">
        <v>0</v>
      </c>
      <c r="I150" s="64">
        <v>0</v>
      </c>
    </row>
    <row r="151" spans="1:9" x14ac:dyDescent="0.25">
      <c r="A151" s="62">
        <v>6107</v>
      </c>
      <c r="B151" s="62" t="s">
        <v>267</v>
      </c>
      <c r="C151" s="63">
        <f>VLOOKUP(A151,مهر!A:C,3,0)</f>
        <v>470</v>
      </c>
      <c r="D151" s="63">
        <v>1404</v>
      </c>
      <c r="E151" s="63">
        <v>8</v>
      </c>
      <c r="F151" s="64">
        <v>9950000</v>
      </c>
      <c r="G151" s="64">
        <v>0</v>
      </c>
      <c r="H151" s="64">
        <v>0</v>
      </c>
      <c r="I151" s="64">
        <v>69501698</v>
      </c>
    </row>
    <row r="152" spans="1:9" x14ac:dyDescent="0.25">
      <c r="A152" s="62">
        <v>6110</v>
      </c>
      <c r="B152" s="62" t="s">
        <v>203</v>
      </c>
      <c r="C152" s="63">
        <f>VLOOKUP(A152,مهر!A:C,3,0)</f>
        <v>476</v>
      </c>
      <c r="D152" s="63">
        <v>1404</v>
      </c>
      <c r="E152" s="63">
        <v>8</v>
      </c>
      <c r="F152" s="64">
        <v>9950000</v>
      </c>
      <c r="G152" s="64">
        <v>0</v>
      </c>
      <c r="H152" s="64">
        <v>0</v>
      </c>
      <c r="I152" s="64">
        <v>3000000</v>
      </c>
    </row>
    <row r="153" spans="1:9" x14ac:dyDescent="0.25">
      <c r="A153" s="62">
        <v>6112</v>
      </c>
      <c r="B153" s="62" t="s">
        <v>239</v>
      </c>
      <c r="C153" s="63">
        <f>VLOOKUP(A153,مهر!A:C,3,0)</f>
        <v>456</v>
      </c>
      <c r="D153" s="63">
        <v>1404</v>
      </c>
      <c r="E153" s="63">
        <v>8</v>
      </c>
      <c r="F153" s="64">
        <v>9950000</v>
      </c>
      <c r="G153" s="64">
        <v>30000000</v>
      </c>
      <c r="H153" s="64">
        <v>0</v>
      </c>
      <c r="I153" s="64">
        <v>0</v>
      </c>
    </row>
    <row r="154" spans="1:9" x14ac:dyDescent="0.25">
      <c r="A154" s="62">
        <v>6113</v>
      </c>
      <c r="B154" s="62" t="s">
        <v>240</v>
      </c>
      <c r="C154" s="63">
        <f>VLOOKUP(A154,مهر!A:C,3,0)</f>
        <v>488</v>
      </c>
      <c r="D154" s="63">
        <v>1404</v>
      </c>
      <c r="E154" s="63">
        <v>8</v>
      </c>
      <c r="F154" s="64">
        <v>19900000</v>
      </c>
      <c r="G154" s="64">
        <v>0</v>
      </c>
      <c r="H154" s="64">
        <v>0</v>
      </c>
      <c r="I154" s="64">
        <v>3000000</v>
      </c>
    </row>
    <row r="155" spans="1:9" x14ac:dyDescent="0.25">
      <c r="A155" s="62">
        <v>6114</v>
      </c>
      <c r="B155" s="62" t="s">
        <v>241</v>
      </c>
      <c r="C155" s="63">
        <f>VLOOKUP(A155,مهر!A:C,3,0)</f>
        <v>467</v>
      </c>
      <c r="D155" s="63">
        <v>1404</v>
      </c>
      <c r="E155" s="63">
        <v>8</v>
      </c>
      <c r="F155" s="64">
        <v>29850000</v>
      </c>
      <c r="G155" s="64">
        <v>100000000</v>
      </c>
      <c r="H155" s="64">
        <v>0</v>
      </c>
      <c r="I155" s="64">
        <v>0</v>
      </c>
    </row>
    <row r="156" spans="1:9" x14ac:dyDescent="0.25">
      <c r="A156" s="62">
        <v>6116</v>
      </c>
      <c r="B156" s="62" t="s">
        <v>242</v>
      </c>
      <c r="C156" s="63">
        <f>VLOOKUP(A156,مهر!A:C,3,0)</f>
        <v>485</v>
      </c>
      <c r="D156" s="63">
        <v>1404</v>
      </c>
      <c r="E156" s="63">
        <v>8</v>
      </c>
      <c r="F156" s="64">
        <v>29850000</v>
      </c>
      <c r="G156" s="64">
        <v>30000000</v>
      </c>
      <c r="H156" s="64">
        <v>0</v>
      </c>
      <c r="I156" s="64">
        <v>0</v>
      </c>
    </row>
    <row r="157" spans="1:9" x14ac:dyDescent="0.25">
      <c r="A157" s="62">
        <v>6117</v>
      </c>
      <c r="B157" s="62" t="s">
        <v>270</v>
      </c>
      <c r="C157" s="63">
        <f>VLOOKUP(A157,مهر!A:C,3,0)</f>
        <v>480</v>
      </c>
      <c r="D157" s="63">
        <v>1404</v>
      </c>
      <c r="E157" s="63">
        <v>8</v>
      </c>
      <c r="F157" s="64">
        <v>29850000</v>
      </c>
      <c r="G157" s="64">
        <v>30000000</v>
      </c>
      <c r="H157" s="64">
        <v>0</v>
      </c>
      <c r="I157" s="64">
        <v>0</v>
      </c>
    </row>
    <row r="158" spans="1:9" x14ac:dyDescent="0.25">
      <c r="A158" s="62">
        <v>6118</v>
      </c>
      <c r="B158" s="62" t="s">
        <v>286</v>
      </c>
      <c r="C158" s="63">
        <v>489</v>
      </c>
      <c r="D158" s="63">
        <v>1404</v>
      </c>
      <c r="E158" s="63">
        <v>8</v>
      </c>
      <c r="F158" s="64">
        <v>0</v>
      </c>
      <c r="G158" s="64">
        <v>69427333</v>
      </c>
      <c r="H158" s="64">
        <v>0</v>
      </c>
      <c r="I158" s="64">
        <v>0</v>
      </c>
    </row>
    <row r="159" spans="1:9" x14ac:dyDescent="0.25">
      <c r="A159" s="62">
        <v>6120</v>
      </c>
      <c r="B159" s="62" t="s">
        <v>287</v>
      </c>
      <c r="C159" s="63">
        <v>486</v>
      </c>
      <c r="D159" s="63">
        <v>1404</v>
      </c>
      <c r="E159" s="63">
        <v>8</v>
      </c>
      <c r="F159" s="64">
        <v>0</v>
      </c>
      <c r="G159" s="64">
        <v>30000000</v>
      </c>
      <c r="H159" s="64">
        <v>0</v>
      </c>
      <c r="I159" s="64">
        <v>1463000</v>
      </c>
    </row>
    <row r="160" spans="1:9" x14ac:dyDescent="0.25">
      <c r="A160" s="62">
        <v>6122</v>
      </c>
      <c r="B160" s="62" t="s">
        <v>271</v>
      </c>
      <c r="C160" s="63">
        <f>VLOOKUP(A160,مهر!A:C,3,0)</f>
        <v>487</v>
      </c>
      <c r="D160" s="63">
        <v>1404</v>
      </c>
      <c r="E160" s="63">
        <v>8</v>
      </c>
      <c r="F160" s="64">
        <v>19900000</v>
      </c>
      <c r="G160" s="64">
        <v>0</v>
      </c>
      <c r="H160" s="64">
        <v>0</v>
      </c>
      <c r="I160" s="64">
        <v>0</v>
      </c>
    </row>
    <row r="161" spans="1:9" x14ac:dyDescent="0.25">
      <c r="A161" s="62">
        <v>6123</v>
      </c>
      <c r="B161" s="62" t="s">
        <v>264</v>
      </c>
      <c r="C161" s="63">
        <f>VLOOKUP(A161,مهر!A:C,3,0)</f>
        <v>484</v>
      </c>
      <c r="D161" s="63">
        <v>1404</v>
      </c>
      <c r="E161" s="63">
        <v>8</v>
      </c>
      <c r="F161" s="64">
        <v>19900000</v>
      </c>
      <c r="G161" s="64">
        <v>0</v>
      </c>
      <c r="H161" s="64">
        <v>0</v>
      </c>
      <c r="I161" s="64">
        <v>3400000</v>
      </c>
    </row>
    <row r="162" spans="1:9" x14ac:dyDescent="0.25">
      <c r="A162" s="62">
        <v>6124</v>
      </c>
      <c r="B162" s="62" t="s">
        <v>288</v>
      </c>
      <c r="C162" s="63">
        <v>455</v>
      </c>
      <c r="D162" s="63">
        <v>1404</v>
      </c>
      <c r="E162" s="63">
        <v>8</v>
      </c>
      <c r="F162" s="64">
        <v>0</v>
      </c>
      <c r="G162" s="64">
        <v>30000000</v>
      </c>
      <c r="H162" s="64">
        <v>0</v>
      </c>
      <c r="I162" s="64">
        <v>0</v>
      </c>
    </row>
    <row r="163" spans="1:9" x14ac:dyDescent="0.25">
      <c r="A163" s="62">
        <v>6125</v>
      </c>
      <c r="B163" s="62" t="s">
        <v>272</v>
      </c>
      <c r="C163" s="63">
        <f>VLOOKUP(A163,مهر!A:C,3,0)</f>
        <v>457</v>
      </c>
      <c r="D163" s="63">
        <v>1404</v>
      </c>
      <c r="E163" s="63">
        <v>8</v>
      </c>
      <c r="F163" s="64">
        <v>9950000</v>
      </c>
      <c r="G163" s="64">
        <v>30000000</v>
      </c>
      <c r="H163" s="64">
        <v>0</v>
      </c>
      <c r="I163" s="64">
        <v>0</v>
      </c>
    </row>
    <row r="164" spans="1:9" x14ac:dyDescent="0.25">
      <c r="A164" s="62">
        <v>6129</v>
      </c>
      <c r="B164" s="62" t="s">
        <v>289</v>
      </c>
      <c r="C164" s="63">
        <v>494</v>
      </c>
      <c r="D164" s="63">
        <v>1404</v>
      </c>
      <c r="E164" s="63">
        <v>8</v>
      </c>
      <c r="F164" s="64">
        <v>0</v>
      </c>
      <c r="G164" s="64">
        <v>0</v>
      </c>
      <c r="H164" s="64">
        <v>0</v>
      </c>
      <c r="I164" s="64">
        <v>1500000</v>
      </c>
    </row>
    <row r="165" spans="1:9" x14ac:dyDescent="0.25">
      <c r="A165" s="62">
        <v>6132</v>
      </c>
      <c r="B165" s="62" t="s">
        <v>290</v>
      </c>
      <c r="C165" s="63">
        <v>502</v>
      </c>
      <c r="D165" s="63">
        <v>1404</v>
      </c>
      <c r="E165" s="63">
        <v>8</v>
      </c>
      <c r="F165" s="64">
        <v>0</v>
      </c>
      <c r="G165" s="64">
        <v>91657556</v>
      </c>
      <c r="H165" s="64">
        <v>0</v>
      </c>
      <c r="I165" s="64">
        <v>0</v>
      </c>
    </row>
    <row r="166" spans="1:9" x14ac:dyDescent="0.25">
      <c r="A166" s="62">
        <v>6133</v>
      </c>
      <c r="B166" s="62" t="s">
        <v>265</v>
      </c>
      <c r="C166" s="63">
        <f>VLOOKUP(A166,مهر!A:C,3,0)</f>
        <v>501</v>
      </c>
      <c r="D166" s="63">
        <v>1404</v>
      </c>
      <c r="E166" s="63">
        <v>8</v>
      </c>
      <c r="F166" s="64">
        <v>49750000</v>
      </c>
      <c r="G166" s="64">
        <v>30000000</v>
      </c>
      <c r="H166" s="64">
        <v>0</v>
      </c>
      <c r="I166" s="64">
        <v>2000000</v>
      </c>
    </row>
    <row r="167" spans="1:9" x14ac:dyDescent="0.25">
      <c r="A167" s="62">
        <v>6136</v>
      </c>
      <c r="B167" s="62" t="s">
        <v>266</v>
      </c>
      <c r="C167" s="63">
        <f>VLOOKUP(A167,مهر!A:C,3,0)</f>
        <v>506</v>
      </c>
      <c r="D167" s="63">
        <v>1404</v>
      </c>
      <c r="E167" s="63">
        <v>8</v>
      </c>
      <c r="F167" s="64">
        <v>29850000</v>
      </c>
      <c r="G167" s="64">
        <v>30000000</v>
      </c>
      <c r="H167" s="64">
        <v>0</v>
      </c>
      <c r="I167" s="64">
        <v>3000000</v>
      </c>
    </row>
    <row r="168" spans="1:9" x14ac:dyDescent="0.25">
      <c r="A168" s="62">
        <v>6137</v>
      </c>
      <c r="B168" s="62" t="s">
        <v>291</v>
      </c>
      <c r="C168" s="63">
        <v>503</v>
      </c>
      <c r="D168" s="63">
        <v>1404</v>
      </c>
      <c r="E168" s="63">
        <v>8</v>
      </c>
      <c r="F168" s="64">
        <v>9950000</v>
      </c>
      <c r="G168" s="64">
        <v>30000000</v>
      </c>
      <c r="H168" s="64">
        <v>0</v>
      </c>
      <c r="I168" s="64">
        <v>0</v>
      </c>
    </row>
    <row r="169" spans="1:9" x14ac:dyDescent="0.25">
      <c r="A169" s="62">
        <v>6139</v>
      </c>
      <c r="B169" s="62" t="s">
        <v>273</v>
      </c>
      <c r="C169" s="63">
        <f>VLOOKUP(A169,مهر!A:C,3,0)</f>
        <v>505</v>
      </c>
      <c r="D169" s="63">
        <v>1404</v>
      </c>
      <c r="E169" s="63">
        <v>8</v>
      </c>
      <c r="F169" s="64">
        <v>19900000</v>
      </c>
      <c r="G169" s="64">
        <v>0</v>
      </c>
      <c r="H169" s="64">
        <v>0</v>
      </c>
      <c r="I169" s="64">
        <v>8697300</v>
      </c>
    </row>
    <row r="170" spans="1:9" x14ac:dyDescent="0.25">
      <c r="A170" s="62">
        <v>6143</v>
      </c>
      <c r="B170" s="62" t="s">
        <v>274</v>
      </c>
      <c r="C170" s="63">
        <f>VLOOKUP(A170,مهر!A:C,3,0)</f>
        <v>508</v>
      </c>
      <c r="D170" s="63">
        <v>1404</v>
      </c>
      <c r="E170" s="63">
        <v>8</v>
      </c>
      <c r="F170" s="64">
        <v>19900000</v>
      </c>
      <c r="G170" s="64">
        <v>30000000</v>
      </c>
      <c r="H170" s="64">
        <v>0</v>
      </c>
      <c r="I170" s="64">
        <v>1500000</v>
      </c>
    </row>
    <row r="171" spans="1:9" x14ac:dyDescent="0.25">
      <c r="A171" s="62">
        <v>6144</v>
      </c>
      <c r="B171" s="62" t="s">
        <v>275</v>
      </c>
      <c r="C171" s="63">
        <f>VLOOKUP(A171,مهر!A:C,3,0)</f>
        <v>517</v>
      </c>
      <c r="D171" s="63">
        <v>1404</v>
      </c>
      <c r="E171" s="63">
        <v>8</v>
      </c>
      <c r="F171" s="64">
        <v>19900000</v>
      </c>
      <c r="G171" s="64">
        <v>0</v>
      </c>
      <c r="H171" s="64">
        <v>0</v>
      </c>
      <c r="I171" s="64">
        <v>0</v>
      </c>
    </row>
    <row r="172" spans="1:9" x14ac:dyDescent="0.25">
      <c r="A172" s="62">
        <v>6145</v>
      </c>
      <c r="B172" s="62" t="s">
        <v>276</v>
      </c>
      <c r="C172" s="63">
        <f>VLOOKUP(A172,مهر!A:C,3,0)</f>
        <v>496</v>
      </c>
      <c r="D172" s="63">
        <v>1404</v>
      </c>
      <c r="E172" s="63">
        <v>8</v>
      </c>
      <c r="F172" s="64">
        <v>19900000</v>
      </c>
      <c r="G172" s="64">
        <v>0</v>
      </c>
      <c r="H172" s="64">
        <v>0</v>
      </c>
      <c r="I172" s="64">
        <v>10200000</v>
      </c>
    </row>
    <row r="173" spans="1:9" x14ac:dyDescent="0.25">
      <c r="A173" s="62">
        <v>6148</v>
      </c>
      <c r="B173" s="62" t="s">
        <v>277</v>
      </c>
      <c r="C173" s="63">
        <f>VLOOKUP(A173,مهر!A:C,3,0)</f>
        <v>520</v>
      </c>
      <c r="D173" s="63">
        <v>1404</v>
      </c>
      <c r="E173" s="63">
        <v>8</v>
      </c>
      <c r="F173" s="64">
        <v>29850000</v>
      </c>
      <c r="G173" s="64">
        <v>0</v>
      </c>
      <c r="H173" s="64">
        <v>0</v>
      </c>
      <c r="I173" s="64">
        <v>0</v>
      </c>
    </row>
    <row r="174" spans="1:9" x14ac:dyDescent="0.25">
      <c r="A174" s="62">
        <v>6149</v>
      </c>
      <c r="B174" s="62" t="s">
        <v>278</v>
      </c>
      <c r="C174" s="63">
        <f>VLOOKUP(A174,مهر!A:C,3,0)</f>
        <v>512</v>
      </c>
      <c r="D174" s="63">
        <v>1404</v>
      </c>
      <c r="E174" s="63">
        <v>8</v>
      </c>
      <c r="F174" s="64">
        <v>9950000</v>
      </c>
      <c r="G174" s="64">
        <v>50000000</v>
      </c>
      <c r="H174" s="64">
        <v>0</v>
      </c>
      <c r="I174" s="64">
        <v>0</v>
      </c>
    </row>
    <row r="175" spans="1:9" x14ac:dyDescent="0.25">
      <c r="A175" s="62">
        <v>6150</v>
      </c>
      <c r="B175" s="62" t="s">
        <v>279</v>
      </c>
      <c r="C175" s="63">
        <f>VLOOKUP(A175,مهر!A:C,3,0)</f>
        <v>518</v>
      </c>
      <c r="D175" s="63">
        <v>1404</v>
      </c>
      <c r="E175" s="63">
        <v>8</v>
      </c>
      <c r="F175" s="64">
        <v>9950000</v>
      </c>
      <c r="G175" s="64">
        <v>40000000</v>
      </c>
      <c r="H175" s="64">
        <v>0</v>
      </c>
      <c r="I175" s="64">
        <v>0</v>
      </c>
    </row>
    <row r="176" spans="1:9" x14ac:dyDescent="0.25">
      <c r="A176" s="62">
        <v>6152</v>
      </c>
      <c r="B176" s="62" t="s">
        <v>292</v>
      </c>
      <c r="C176" s="63">
        <v>519</v>
      </c>
      <c r="D176" s="63">
        <v>1404</v>
      </c>
      <c r="E176" s="63">
        <v>8</v>
      </c>
      <c r="F176" s="64">
        <v>0</v>
      </c>
      <c r="G176" s="64">
        <v>30000000</v>
      </c>
      <c r="H176" s="64">
        <v>0</v>
      </c>
      <c r="I176" s="64">
        <v>3995000</v>
      </c>
    </row>
    <row r="177" spans="1:11" x14ac:dyDescent="0.25">
      <c r="A177" s="62">
        <v>6154</v>
      </c>
      <c r="B177" s="62" t="s">
        <v>280</v>
      </c>
      <c r="C177" s="63">
        <f>VLOOKUP(A177,مهر!A:C,3,0)</f>
        <v>515</v>
      </c>
      <c r="D177" s="63">
        <v>1404</v>
      </c>
      <c r="E177" s="63">
        <v>8</v>
      </c>
      <c r="F177" s="64">
        <v>39800000</v>
      </c>
      <c r="G177" s="64">
        <v>0</v>
      </c>
      <c r="H177" s="64">
        <v>0</v>
      </c>
      <c r="I177" s="64">
        <v>0</v>
      </c>
    </row>
    <row r="178" spans="1:11" x14ac:dyDescent="0.25">
      <c r="A178" s="62">
        <v>6155</v>
      </c>
      <c r="B178" s="62" t="s">
        <v>281</v>
      </c>
      <c r="C178" s="63">
        <f>VLOOKUP(A178,مهر!A:C,3,0)</f>
        <v>516</v>
      </c>
      <c r="D178" s="63">
        <v>1404</v>
      </c>
      <c r="E178" s="63">
        <v>8</v>
      </c>
      <c r="F178" s="64">
        <v>19900000</v>
      </c>
      <c r="G178" s="64">
        <v>0</v>
      </c>
      <c r="H178" s="64">
        <v>0</v>
      </c>
      <c r="I178" s="64">
        <v>0</v>
      </c>
    </row>
    <row r="179" spans="1:11" x14ac:dyDescent="0.25">
      <c r="A179" s="62">
        <v>6156</v>
      </c>
      <c r="B179" s="62" t="s">
        <v>293</v>
      </c>
      <c r="C179" s="63">
        <v>528</v>
      </c>
      <c r="D179" s="63">
        <v>1404</v>
      </c>
      <c r="E179" s="63">
        <v>8</v>
      </c>
      <c r="F179" s="64">
        <v>9950000</v>
      </c>
      <c r="G179" s="64">
        <v>0</v>
      </c>
      <c r="H179" s="64">
        <v>0</v>
      </c>
      <c r="I179" s="64">
        <v>0</v>
      </c>
    </row>
    <row r="180" spans="1:11" x14ac:dyDescent="0.25">
      <c r="A180" s="62">
        <v>6160</v>
      </c>
      <c r="B180" s="62" t="s">
        <v>294</v>
      </c>
      <c r="C180" s="63">
        <v>533</v>
      </c>
      <c r="D180" s="63">
        <v>1404</v>
      </c>
      <c r="E180" s="63">
        <v>8</v>
      </c>
      <c r="F180" s="64">
        <v>19900000</v>
      </c>
      <c r="G180" s="64">
        <v>0</v>
      </c>
      <c r="H180" s="64">
        <v>0</v>
      </c>
      <c r="I180" s="64">
        <v>0</v>
      </c>
    </row>
    <row r="181" spans="1:11" x14ac:dyDescent="0.25">
      <c r="A181" s="62">
        <v>6166</v>
      </c>
      <c r="B181" s="62" t="s">
        <v>295</v>
      </c>
      <c r="C181" s="63">
        <v>521</v>
      </c>
      <c r="D181" s="63">
        <v>1404</v>
      </c>
      <c r="E181" s="63">
        <v>8</v>
      </c>
      <c r="F181" s="64">
        <v>19900000</v>
      </c>
      <c r="G181" s="64">
        <v>0</v>
      </c>
      <c r="H181" s="64">
        <v>0</v>
      </c>
      <c r="I181" s="64">
        <v>0</v>
      </c>
    </row>
    <row r="182" spans="1:11" x14ac:dyDescent="0.25">
      <c r="A182" s="62">
        <v>6167</v>
      </c>
      <c r="B182" s="62" t="s">
        <v>282</v>
      </c>
      <c r="C182" s="63">
        <f>VLOOKUP(A182,مهر!A:C,3,0)</f>
        <v>537</v>
      </c>
      <c r="D182" s="63">
        <v>1404</v>
      </c>
      <c r="E182" s="63">
        <v>8</v>
      </c>
      <c r="F182" s="64">
        <v>19900000</v>
      </c>
      <c r="G182" s="64">
        <v>33333333</v>
      </c>
      <c r="H182" s="64">
        <v>0</v>
      </c>
      <c r="I182" s="64">
        <v>0</v>
      </c>
    </row>
    <row r="183" spans="1:11" x14ac:dyDescent="0.25">
      <c r="A183" s="62">
        <v>6168</v>
      </c>
      <c r="B183" s="62" t="s">
        <v>296</v>
      </c>
      <c r="C183" s="63">
        <v>523</v>
      </c>
      <c r="D183" s="63">
        <v>1404</v>
      </c>
      <c r="E183" s="63">
        <v>8</v>
      </c>
      <c r="F183" s="64">
        <v>9950000</v>
      </c>
      <c r="G183" s="64">
        <v>0</v>
      </c>
      <c r="H183" s="64">
        <v>0</v>
      </c>
      <c r="I183" s="64">
        <v>0</v>
      </c>
    </row>
    <row r="184" spans="1:11" x14ac:dyDescent="0.25">
      <c r="A184" s="62">
        <v>6170</v>
      </c>
      <c r="B184" s="62" t="s">
        <v>297</v>
      </c>
      <c r="C184" s="63">
        <v>539</v>
      </c>
      <c r="D184" s="63">
        <v>1404</v>
      </c>
      <c r="E184" s="63">
        <v>8</v>
      </c>
      <c r="F184" s="64">
        <v>29850000</v>
      </c>
      <c r="G184" s="64">
        <v>0</v>
      </c>
      <c r="H184" s="64">
        <v>0</v>
      </c>
      <c r="I184" s="64">
        <v>0</v>
      </c>
    </row>
    <row r="185" spans="1:11" x14ac:dyDescent="0.25">
      <c r="A185" s="62">
        <v>6177</v>
      </c>
      <c r="B185" s="62" t="s">
        <v>298</v>
      </c>
      <c r="C185" s="63">
        <v>587</v>
      </c>
      <c r="D185" s="63">
        <v>1404</v>
      </c>
      <c r="E185" s="63">
        <v>8</v>
      </c>
      <c r="F185" s="64">
        <v>39800000</v>
      </c>
      <c r="G185" s="64">
        <v>0</v>
      </c>
      <c r="H185" s="64">
        <v>0</v>
      </c>
      <c r="I185" s="64">
        <v>0</v>
      </c>
    </row>
    <row r="186" spans="1:11" x14ac:dyDescent="0.25">
      <c r="A186" s="62">
        <v>6447</v>
      </c>
      <c r="B186" s="62" t="s">
        <v>204</v>
      </c>
      <c r="C186" s="63">
        <f>VLOOKUP(A186,مهر!A:C,3,0)</f>
        <v>91</v>
      </c>
      <c r="D186" s="63">
        <v>1404</v>
      </c>
      <c r="E186" s="63">
        <v>8</v>
      </c>
      <c r="F186" s="64">
        <v>29850000</v>
      </c>
      <c r="G186" s="64">
        <v>0</v>
      </c>
      <c r="H186" s="64">
        <v>0</v>
      </c>
      <c r="I186" s="64">
        <v>0</v>
      </c>
    </row>
    <row r="187" spans="1:11" x14ac:dyDescent="0.25">
      <c r="K187" s="65"/>
    </row>
  </sheetData>
  <autoFilter ref="A1:I186" xr:uid="{A0E04333-5859-4155-AB0C-48B51002A1D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859F-2A9E-45CB-B8D1-EC37BD5EE78E}">
  <dimension ref="A1:I202"/>
  <sheetViews>
    <sheetView rightToLeft="1" workbookViewId="0">
      <pane ySplit="1" topLeftCell="A2" activePane="bottomLeft" state="frozen"/>
      <selection pane="bottomLeft" activeCell="C1" sqref="C1:E1"/>
    </sheetView>
  </sheetViews>
  <sheetFormatPr defaultRowHeight="15" x14ac:dyDescent="0.25"/>
  <cols>
    <col min="1" max="1" width="7.75" style="67" bestFit="1" customWidth="1"/>
    <col min="2" max="2" width="23.75" style="67" bestFit="1" customWidth="1"/>
    <col min="3" max="3" width="8.375" style="67" bestFit="1" customWidth="1"/>
    <col min="4" max="4" width="4.875" style="67" bestFit="1" customWidth="1"/>
    <col min="5" max="5" width="2.625" style="67" bestFit="1" customWidth="1"/>
    <col min="6" max="6" width="12.375" style="69" bestFit="1" customWidth="1"/>
    <col min="7" max="7" width="10.875" style="69" bestFit="1" customWidth="1"/>
    <col min="8" max="8" width="15.25" style="69" bestFit="1" customWidth="1"/>
    <col min="9" max="9" width="9.875" style="69" bestFit="1" customWidth="1"/>
  </cols>
  <sheetData>
    <row r="1" spans="1:9" s="21" customFormat="1" ht="22.5" x14ac:dyDescent="0.65">
      <c r="A1" s="66" t="s">
        <v>0</v>
      </c>
      <c r="B1" s="66" t="s">
        <v>1</v>
      </c>
      <c r="C1" s="41" t="s">
        <v>248</v>
      </c>
      <c r="D1" s="41" t="s">
        <v>283</v>
      </c>
      <c r="E1" s="41" t="s">
        <v>206</v>
      </c>
      <c r="F1" s="68" t="s">
        <v>209</v>
      </c>
      <c r="G1" s="68" t="s">
        <v>207</v>
      </c>
      <c r="H1" s="68" t="s">
        <v>208</v>
      </c>
      <c r="I1" s="58" t="s">
        <v>247</v>
      </c>
    </row>
    <row r="2" spans="1:9" x14ac:dyDescent="0.25">
      <c r="A2" s="70">
        <v>3653</v>
      </c>
      <c r="B2" s="71" t="s">
        <v>5</v>
      </c>
      <c r="C2" s="71">
        <f>VLOOKUP(A2,آبان!A:C,3,0)</f>
        <v>34</v>
      </c>
      <c r="D2" s="71">
        <v>1404</v>
      </c>
      <c r="E2" s="71">
        <v>9</v>
      </c>
      <c r="F2" s="72">
        <v>49750000</v>
      </c>
      <c r="G2" s="72">
        <v>0</v>
      </c>
      <c r="H2" s="72">
        <v>0</v>
      </c>
      <c r="I2" s="72">
        <v>6172000</v>
      </c>
    </row>
    <row r="3" spans="1:9" x14ac:dyDescent="0.25">
      <c r="A3" s="70">
        <v>4598</v>
      </c>
      <c r="B3" s="71" t="s">
        <v>8</v>
      </c>
      <c r="C3" s="71">
        <f>VLOOKUP(A3,آبان!A:C,3,0)</f>
        <v>129</v>
      </c>
      <c r="D3" s="71">
        <v>1404</v>
      </c>
      <c r="E3" s="71">
        <v>9</v>
      </c>
      <c r="F3" s="72">
        <v>39800000</v>
      </c>
      <c r="G3" s="72">
        <v>0</v>
      </c>
      <c r="H3" s="72">
        <v>0</v>
      </c>
      <c r="I3" s="72">
        <v>3900000</v>
      </c>
    </row>
    <row r="4" spans="1:9" x14ac:dyDescent="0.25">
      <c r="A4" s="70">
        <v>4636</v>
      </c>
      <c r="B4" s="71" t="s">
        <v>12</v>
      </c>
      <c r="C4" s="71">
        <f>VLOOKUP(A4,آبان!A:C,3,0)</f>
        <v>62</v>
      </c>
      <c r="D4" s="71">
        <v>1404</v>
      </c>
      <c r="E4" s="71">
        <v>9</v>
      </c>
      <c r="F4" s="72">
        <v>59700000</v>
      </c>
      <c r="G4" s="72">
        <v>100000000</v>
      </c>
      <c r="H4" s="72">
        <v>0</v>
      </c>
      <c r="I4" s="72">
        <v>0</v>
      </c>
    </row>
    <row r="5" spans="1:9" x14ac:dyDescent="0.25">
      <c r="A5" s="70">
        <v>4687</v>
      </c>
      <c r="B5" s="71" t="s">
        <v>36</v>
      </c>
      <c r="C5" s="71">
        <f>VLOOKUP(A5,آبان!A:C,3,0)</f>
        <v>136</v>
      </c>
      <c r="D5" s="71">
        <v>1404</v>
      </c>
      <c r="E5" s="71">
        <v>9</v>
      </c>
      <c r="F5" s="72">
        <v>39800000</v>
      </c>
      <c r="G5" s="72">
        <v>0</v>
      </c>
      <c r="H5" s="72">
        <v>0</v>
      </c>
      <c r="I5" s="72">
        <v>13000000</v>
      </c>
    </row>
    <row r="6" spans="1:9" x14ac:dyDescent="0.25">
      <c r="A6" s="70">
        <v>5655</v>
      </c>
      <c r="B6" s="71" t="s">
        <v>63</v>
      </c>
      <c r="C6" s="71">
        <f>VLOOKUP(A6,آبان!A:C,3,0)</f>
        <v>130</v>
      </c>
      <c r="D6" s="71">
        <v>1404</v>
      </c>
      <c r="E6" s="71">
        <v>9</v>
      </c>
      <c r="F6" s="72">
        <v>29850000</v>
      </c>
      <c r="G6" s="72">
        <v>40000000</v>
      </c>
      <c r="H6" s="72">
        <v>0</v>
      </c>
      <c r="I6" s="72">
        <v>0</v>
      </c>
    </row>
    <row r="7" spans="1:9" x14ac:dyDescent="0.25">
      <c r="A7" s="70">
        <v>5699</v>
      </c>
      <c r="B7" s="71" t="s">
        <v>68</v>
      </c>
      <c r="C7" s="71">
        <f>VLOOKUP(A7,آبان!A:C,3,0)</f>
        <v>159</v>
      </c>
      <c r="D7" s="71">
        <v>1404</v>
      </c>
      <c r="E7" s="71">
        <v>9</v>
      </c>
      <c r="F7" s="72">
        <v>49750000</v>
      </c>
      <c r="G7" s="72">
        <v>0</v>
      </c>
      <c r="H7" s="72">
        <v>0</v>
      </c>
      <c r="I7" s="72">
        <v>13900000</v>
      </c>
    </row>
    <row r="8" spans="1:9" x14ac:dyDescent="0.25">
      <c r="A8" s="70">
        <v>5883</v>
      </c>
      <c r="B8" s="71" t="s">
        <v>111</v>
      </c>
      <c r="C8" s="71">
        <f>VLOOKUP(A8,آبان!A:C,3,0)</f>
        <v>6</v>
      </c>
      <c r="D8" s="71">
        <v>1404</v>
      </c>
      <c r="E8" s="71">
        <v>9</v>
      </c>
      <c r="F8" s="72">
        <v>59700000</v>
      </c>
      <c r="G8" s="72">
        <v>95434000</v>
      </c>
      <c r="H8" s="72">
        <v>21887016</v>
      </c>
      <c r="I8" s="72">
        <v>0</v>
      </c>
    </row>
    <row r="9" spans="1:9" x14ac:dyDescent="0.25">
      <c r="A9" s="70">
        <v>3567</v>
      </c>
      <c r="B9" s="71" t="s">
        <v>3</v>
      </c>
      <c r="C9" s="71">
        <f>VLOOKUP(A9,آبان!A:C,3,0)</f>
        <v>57</v>
      </c>
      <c r="D9" s="71">
        <v>1404</v>
      </c>
      <c r="E9" s="71">
        <v>9</v>
      </c>
      <c r="F9" s="72">
        <v>19900000</v>
      </c>
      <c r="G9" s="72">
        <v>40000000</v>
      </c>
      <c r="H9" s="72">
        <v>0</v>
      </c>
      <c r="I9" s="72">
        <v>2700000</v>
      </c>
    </row>
    <row r="10" spans="1:9" x14ac:dyDescent="0.25">
      <c r="A10" s="70">
        <v>3607</v>
      </c>
      <c r="B10" s="71" t="s">
        <v>4</v>
      </c>
      <c r="C10" s="71">
        <f>VLOOKUP(A10,آبان!A:C,3,0)</f>
        <v>119</v>
      </c>
      <c r="D10" s="71">
        <v>1404</v>
      </c>
      <c r="E10" s="71">
        <v>9</v>
      </c>
      <c r="F10" s="72">
        <v>49750000</v>
      </c>
      <c r="G10" s="72">
        <v>30000000</v>
      </c>
      <c r="H10" s="72">
        <v>0</v>
      </c>
      <c r="I10" s="72">
        <v>4500000</v>
      </c>
    </row>
    <row r="11" spans="1:9" x14ac:dyDescent="0.25">
      <c r="A11" s="70">
        <v>4614</v>
      </c>
      <c r="B11" s="71" t="s">
        <v>9</v>
      </c>
      <c r="C11" s="71">
        <f>VLOOKUP(A11,آبان!A:C,3,0)</f>
        <v>140</v>
      </c>
      <c r="D11" s="71">
        <v>1404</v>
      </c>
      <c r="E11" s="71">
        <v>9</v>
      </c>
      <c r="F11" s="72">
        <v>9950000</v>
      </c>
      <c r="G11" s="72">
        <v>0</v>
      </c>
      <c r="H11" s="72">
        <v>0</v>
      </c>
      <c r="I11" s="72">
        <v>9200000</v>
      </c>
    </row>
    <row r="12" spans="1:9" x14ac:dyDescent="0.25">
      <c r="A12" s="70">
        <v>4622</v>
      </c>
      <c r="B12" s="71" t="s">
        <v>11</v>
      </c>
      <c r="C12" s="71">
        <f>VLOOKUP(A12,آبان!A:C,3,0)</f>
        <v>35</v>
      </c>
      <c r="D12" s="71">
        <v>1404</v>
      </c>
      <c r="E12" s="71">
        <v>9</v>
      </c>
      <c r="F12" s="72">
        <v>39800000</v>
      </c>
      <c r="G12" s="72">
        <v>30000000</v>
      </c>
      <c r="H12" s="72">
        <v>0</v>
      </c>
      <c r="I12" s="72">
        <v>0</v>
      </c>
    </row>
    <row r="13" spans="1:9" x14ac:dyDescent="0.25">
      <c r="A13" s="70">
        <v>4648</v>
      </c>
      <c r="B13" s="71" t="s">
        <v>15</v>
      </c>
      <c r="C13" s="71">
        <f>VLOOKUP(A13,آبان!A:C,3,0)</f>
        <v>160</v>
      </c>
      <c r="D13" s="71">
        <v>1404</v>
      </c>
      <c r="E13" s="71">
        <v>9</v>
      </c>
      <c r="F13" s="72">
        <v>29850000</v>
      </c>
      <c r="G13" s="72">
        <v>0</v>
      </c>
      <c r="H13" s="72">
        <v>0</v>
      </c>
      <c r="I13" s="72">
        <v>6000000</v>
      </c>
    </row>
    <row r="14" spans="1:9" x14ac:dyDescent="0.25">
      <c r="A14" s="70">
        <v>4651</v>
      </c>
      <c r="B14" s="71" t="s">
        <v>16</v>
      </c>
      <c r="C14" s="71">
        <f>VLOOKUP(A14,آبان!A:C,3,0)</f>
        <v>52</v>
      </c>
      <c r="D14" s="71">
        <v>1404</v>
      </c>
      <c r="E14" s="71">
        <v>9</v>
      </c>
      <c r="F14" s="72">
        <v>69650000</v>
      </c>
      <c r="G14" s="72">
        <v>30000000</v>
      </c>
      <c r="H14" s="72">
        <v>0</v>
      </c>
      <c r="I14" s="72">
        <v>4500000</v>
      </c>
    </row>
    <row r="15" spans="1:9" x14ac:dyDescent="0.25">
      <c r="A15" s="70">
        <v>4661</v>
      </c>
      <c r="B15" s="71" t="s">
        <v>24</v>
      </c>
      <c r="C15" s="71">
        <f>VLOOKUP(A15,آبان!A:C,3,0)</f>
        <v>63</v>
      </c>
      <c r="D15" s="71">
        <v>1404</v>
      </c>
      <c r="E15" s="71">
        <v>9</v>
      </c>
      <c r="F15" s="72">
        <v>0</v>
      </c>
      <c r="G15" s="72">
        <v>0</v>
      </c>
      <c r="H15" s="72">
        <v>0</v>
      </c>
      <c r="I15" s="72">
        <v>19500000</v>
      </c>
    </row>
    <row r="16" spans="1:9" x14ac:dyDescent="0.25">
      <c r="A16" s="70">
        <v>4664</v>
      </c>
      <c r="B16" s="71" t="s">
        <v>26</v>
      </c>
      <c r="C16" s="71">
        <f>VLOOKUP(A16,آبان!A:C,3,0)</f>
        <v>65</v>
      </c>
      <c r="D16" s="71">
        <v>1404</v>
      </c>
      <c r="E16" s="71">
        <v>9</v>
      </c>
      <c r="F16" s="72">
        <v>39800000</v>
      </c>
      <c r="G16" s="72">
        <v>0</v>
      </c>
      <c r="H16" s="72">
        <v>0</v>
      </c>
      <c r="I16" s="72">
        <v>0</v>
      </c>
    </row>
    <row r="17" spans="1:9" x14ac:dyDescent="0.25">
      <c r="A17" s="70">
        <v>4665</v>
      </c>
      <c r="B17" s="71" t="s">
        <v>27</v>
      </c>
      <c r="C17" s="71">
        <f>VLOOKUP(A17,آبان!A:C,3,0)</f>
        <v>64</v>
      </c>
      <c r="D17" s="71">
        <v>1404</v>
      </c>
      <c r="E17" s="71">
        <v>9</v>
      </c>
      <c r="F17" s="72">
        <v>0</v>
      </c>
      <c r="G17" s="72">
        <v>60000000</v>
      </c>
      <c r="H17" s="72">
        <v>0</v>
      </c>
      <c r="I17" s="72">
        <v>6200000</v>
      </c>
    </row>
    <row r="18" spans="1:9" x14ac:dyDescent="0.25">
      <c r="A18" s="70">
        <v>4667</v>
      </c>
      <c r="B18" s="71" t="s">
        <v>29</v>
      </c>
      <c r="C18" s="71">
        <f>VLOOKUP(A18,آبان!A:C,3,0)</f>
        <v>94</v>
      </c>
      <c r="D18" s="71">
        <v>1404</v>
      </c>
      <c r="E18" s="71">
        <v>9</v>
      </c>
      <c r="F18" s="72">
        <v>59700000</v>
      </c>
      <c r="G18" s="72">
        <v>30000000</v>
      </c>
      <c r="H18" s="72">
        <v>0</v>
      </c>
      <c r="I18" s="72">
        <v>0</v>
      </c>
    </row>
    <row r="19" spans="1:9" x14ac:dyDescent="0.25">
      <c r="A19" s="70">
        <v>4670</v>
      </c>
      <c r="B19" s="71" t="s">
        <v>32</v>
      </c>
      <c r="C19" s="71">
        <f>VLOOKUP(A19,آبان!A:C,3,0)</f>
        <v>90</v>
      </c>
      <c r="D19" s="71">
        <v>1404</v>
      </c>
      <c r="E19" s="71">
        <v>9</v>
      </c>
      <c r="F19" s="72">
        <v>29850000</v>
      </c>
      <c r="G19" s="72">
        <v>30000000</v>
      </c>
      <c r="H19" s="72">
        <v>0</v>
      </c>
      <c r="I19" s="72">
        <v>6200000</v>
      </c>
    </row>
    <row r="20" spans="1:9" x14ac:dyDescent="0.25">
      <c r="A20" s="70">
        <v>4673</v>
      </c>
      <c r="B20" s="71" t="s">
        <v>34</v>
      </c>
      <c r="C20" s="71">
        <f>VLOOKUP(A20,آبان!A:C,3,0)</f>
        <v>45</v>
      </c>
      <c r="D20" s="71">
        <v>1404</v>
      </c>
      <c r="E20" s="71">
        <v>9</v>
      </c>
      <c r="F20" s="72">
        <v>29850000</v>
      </c>
      <c r="G20" s="72">
        <v>0</v>
      </c>
      <c r="H20" s="72">
        <v>0</v>
      </c>
      <c r="I20" s="72">
        <v>0</v>
      </c>
    </row>
    <row r="21" spans="1:9" x14ac:dyDescent="0.25">
      <c r="A21" s="70">
        <v>4689</v>
      </c>
      <c r="B21" s="71" t="s">
        <v>38</v>
      </c>
      <c r="C21" s="71">
        <f>VLOOKUP(A21,آبان!A:C,3,0)</f>
        <v>96</v>
      </c>
      <c r="D21" s="71">
        <v>1404</v>
      </c>
      <c r="E21" s="71">
        <v>9</v>
      </c>
      <c r="F21" s="72">
        <v>19900000</v>
      </c>
      <c r="G21" s="72">
        <v>30000000</v>
      </c>
      <c r="H21" s="72">
        <v>0</v>
      </c>
      <c r="I21" s="72">
        <v>0</v>
      </c>
    </row>
    <row r="22" spans="1:9" x14ac:dyDescent="0.25">
      <c r="A22" s="70">
        <v>4701</v>
      </c>
      <c r="B22" s="71" t="s">
        <v>40</v>
      </c>
      <c r="C22" s="71">
        <f>VLOOKUP(A22,آبان!A:C,3,0)</f>
        <v>138</v>
      </c>
      <c r="D22" s="71">
        <v>1404</v>
      </c>
      <c r="E22" s="71">
        <v>9</v>
      </c>
      <c r="F22" s="72">
        <v>0</v>
      </c>
      <c r="G22" s="72">
        <v>0</v>
      </c>
      <c r="H22" s="72">
        <v>0</v>
      </c>
      <c r="I22" s="72">
        <v>7900000</v>
      </c>
    </row>
    <row r="23" spans="1:9" x14ac:dyDescent="0.25">
      <c r="A23" s="70">
        <v>5626</v>
      </c>
      <c r="B23" s="71" t="s">
        <v>50</v>
      </c>
      <c r="C23" s="71">
        <f>VLOOKUP(A23,آبان!A:C,3,0)</f>
        <v>37</v>
      </c>
      <c r="D23" s="71">
        <v>1404</v>
      </c>
      <c r="E23" s="71">
        <v>9</v>
      </c>
      <c r="F23" s="72">
        <v>19900000</v>
      </c>
      <c r="G23" s="72">
        <v>0</v>
      </c>
      <c r="H23" s="72">
        <v>0</v>
      </c>
      <c r="I23" s="72">
        <v>0</v>
      </c>
    </row>
    <row r="24" spans="1:9" x14ac:dyDescent="0.25">
      <c r="A24" s="70">
        <v>5642</v>
      </c>
      <c r="B24" s="71" t="s">
        <v>60</v>
      </c>
      <c r="C24" s="71">
        <f>VLOOKUP(A24,آبان!A:C,3,0)</f>
        <v>137</v>
      </c>
      <c r="D24" s="71">
        <v>1404</v>
      </c>
      <c r="E24" s="71">
        <v>9</v>
      </c>
      <c r="F24" s="72">
        <v>0</v>
      </c>
      <c r="G24" s="72">
        <v>40000000</v>
      </c>
      <c r="H24" s="72">
        <v>0</v>
      </c>
      <c r="I24" s="72">
        <v>5600000</v>
      </c>
    </row>
    <row r="25" spans="1:9" x14ac:dyDescent="0.25">
      <c r="A25" s="70">
        <v>5847</v>
      </c>
      <c r="B25" s="71" t="s">
        <v>103</v>
      </c>
      <c r="C25" s="71">
        <f>VLOOKUP(A25,آبان!A:C,3,0)</f>
        <v>93</v>
      </c>
      <c r="D25" s="71">
        <v>1404</v>
      </c>
      <c r="E25" s="71">
        <v>9</v>
      </c>
      <c r="F25" s="72">
        <v>49750000</v>
      </c>
      <c r="G25" s="72">
        <v>0</v>
      </c>
      <c r="H25" s="72">
        <v>0</v>
      </c>
      <c r="I25" s="72">
        <v>0</v>
      </c>
    </row>
    <row r="26" spans="1:9" x14ac:dyDescent="0.25">
      <c r="A26" s="70">
        <v>5936</v>
      </c>
      <c r="B26" s="71" t="s">
        <v>134</v>
      </c>
      <c r="C26" s="71">
        <f>VLOOKUP(A26,آبان!A:C,3,0)</f>
        <v>11</v>
      </c>
      <c r="D26" s="71">
        <v>1404</v>
      </c>
      <c r="E26" s="71">
        <v>9</v>
      </c>
      <c r="F26" s="72">
        <v>39800000</v>
      </c>
      <c r="G26" s="72">
        <v>77717000</v>
      </c>
      <c r="H26" s="72">
        <v>0</v>
      </c>
      <c r="I26" s="72">
        <v>4500000</v>
      </c>
    </row>
    <row r="27" spans="1:9" x14ac:dyDescent="0.25">
      <c r="A27" s="70">
        <v>5968</v>
      </c>
      <c r="B27" s="71" t="s">
        <v>149</v>
      </c>
      <c r="C27" s="71">
        <f>VLOOKUP(A27,آبان!A:C,3,0)</f>
        <v>202</v>
      </c>
      <c r="D27" s="71">
        <v>1404</v>
      </c>
      <c r="E27" s="71">
        <v>9</v>
      </c>
      <c r="F27" s="72">
        <v>29850000</v>
      </c>
      <c r="G27" s="72">
        <v>70000000</v>
      </c>
      <c r="H27" s="72">
        <v>0</v>
      </c>
      <c r="I27" s="72">
        <v>1200000</v>
      </c>
    </row>
    <row r="28" spans="1:9" x14ac:dyDescent="0.25">
      <c r="A28" s="70">
        <v>6020</v>
      </c>
      <c r="B28" s="71" t="s">
        <v>167</v>
      </c>
      <c r="C28" s="71">
        <f>VLOOKUP(A28,آبان!A:C,3,0)</f>
        <v>425</v>
      </c>
      <c r="D28" s="71">
        <v>1404</v>
      </c>
      <c r="E28" s="71">
        <v>9</v>
      </c>
      <c r="F28" s="72">
        <v>19900000</v>
      </c>
      <c r="G28" s="72">
        <v>0</v>
      </c>
      <c r="H28" s="72">
        <v>13783502</v>
      </c>
      <c r="I28" s="72">
        <v>4500000</v>
      </c>
    </row>
    <row r="29" spans="1:9" x14ac:dyDescent="0.25">
      <c r="A29" s="70">
        <v>6059</v>
      </c>
      <c r="B29" s="71" t="s">
        <v>182</v>
      </c>
      <c r="C29" s="71">
        <f>VLOOKUP(A29,آبان!A:C,3,0)</f>
        <v>201</v>
      </c>
      <c r="D29" s="71">
        <v>1404</v>
      </c>
      <c r="E29" s="71">
        <v>9</v>
      </c>
      <c r="F29" s="72">
        <v>0</v>
      </c>
      <c r="G29" s="72">
        <v>60000000</v>
      </c>
      <c r="H29" s="72">
        <v>25400739</v>
      </c>
      <c r="I29" s="72">
        <v>4500000</v>
      </c>
    </row>
    <row r="30" spans="1:9" x14ac:dyDescent="0.25">
      <c r="A30" s="70">
        <v>6089</v>
      </c>
      <c r="B30" s="71" t="s">
        <v>193</v>
      </c>
      <c r="C30" s="71">
        <f>VLOOKUP(A30,آبان!A:C,3,0)</f>
        <v>440</v>
      </c>
      <c r="D30" s="71">
        <v>1404</v>
      </c>
      <c r="E30" s="71">
        <v>9</v>
      </c>
      <c r="F30" s="72">
        <v>49750000</v>
      </c>
      <c r="G30" s="72">
        <v>30000000</v>
      </c>
      <c r="H30" s="72">
        <v>724350</v>
      </c>
      <c r="I30" s="72">
        <v>6000000</v>
      </c>
    </row>
    <row r="31" spans="1:9" x14ac:dyDescent="0.25">
      <c r="A31" s="70">
        <v>6094</v>
      </c>
      <c r="B31" s="71" t="s">
        <v>196</v>
      </c>
      <c r="C31" s="71">
        <f>VLOOKUP(A31,آبان!A:C,3,0)</f>
        <v>448</v>
      </c>
      <c r="D31" s="71">
        <v>1404</v>
      </c>
      <c r="E31" s="71">
        <v>9</v>
      </c>
      <c r="F31" s="72">
        <v>49750000</v>
      </c>
      <c r="G31" s="72">
        <v>30000000</v>
      </c>
      <c r="H31" s="72">
        <v>0</v>
      </c>
      <c r="I31" s="72">
        <v>0</v>
      </c>
    </row>
    <row r="32" spans="1:9" x14ac:dyDescent="0.25">
      <c r="A32" s="70">
        <v>6125</v>
      </c>
      <c r="B32" s="71" t="s">
        <v>272</v>
      </c>
      <c r="C32" s="71">
        <f>VLOOKUP(A32,آبان!A:C,3,0)</f>
        <v>457</v>
      </c>
      <c r="D32" s="71">
        <v>1404</v>
      </c>
      <c r="E32" s="71">
        <v>9</v>
      </c>
      <c r="F32" s="72">
        <v>9950000</v>
      </c>
      <c r="G32" s="72">
        <v>30000000</v>
      </c>
      <c r="H32" s="72">
        <v>0</v>
      </c>
      <c r="I32" s="72">
        <v>4500000</v>
      </c>
    </row>
    <row r="33" spans="1:9" x14ac:dyDescent="0.25">
      <c r="A33" s="70">
        <v>6132</v>
      </c>
      <c r="B33" s="71" t="s">
        <v>290</v>
      </c>
      <c r="C33" s="71">
        <f>VLOOKUP(A33,آبان!A:C,3,0)</f>
        <v>502</v>
      </c>
      <c r="D33" s="71">
        <v>1404</v>
      </c>
      <c r="E33" s="71">
        <v>9</v>
      </c>
      <c r="F33" s="72">
        <v>0</v>
      </c>
      <c r="G33" s="72">
        <v>35211666</v>
      </c>
      <c r="H33" s="72">
        <v>0</v>
      </c>
      <c r="I33" s="72">
        <v>0</v>
      </c>
    </row>
    <row r="34" spans="1:9" x14ac:dyDescent="0.25">
      <c r="A34" s="70">
        <v>6133</v>
      </c>
      <c r="B34" s="71" t="s">
        <v>265</v>
      </c>
      <c r="C34" s="71">
        <f>VLOOKUP(A34,آبان!A:C,3,0)</f>
        <v>501</v>
      </c>
      <c r="D34" s="71">
        <v>1404</v>
      </c>
      <c r="E34" s="71">
        <v>9</v>
      </c>
      <c r="F34" s="72">
        <v>49750000</v>
      </c>
      <c r="G34" s="72">
        <v>90000000</v>
      </c>
      <c r="H34" s="72">
        <v>0</v>
      </c>
      <c r="I34" s="72">
        <v>5600000</v>
      </c>
    </row>
    <row r="35" spans="1:9" x14ac:dyDescent="0.25">
      <c r="A35" s="70">
        <v>6148</v>
      </c>
      <c r="B35" s="71" t="s">
        <v>277</v>
      </c>
      <c r="C35" s="71">
        <f>VLOOKUP(A35,آبان!A:C,3,0)</f>
        <v>520</v>
      </c>
      <c r="D35" s="71">
        <v>1404</v>
      </c>
      <c r="E35" s="71">
        <v>9</v>
      </c>
      <c r="F35" s="72">
        <v>29850000</v>
      </c>
      <c r="G35" s="72">
        <v>0</v>
      </c>
      <c r="H35" s="72">
        <v>0</v>
      </c>
      <c r="I35" s="72">
        <v>0</v>
      </c>
    </row>
    <row r="36" spans="1:9" x14ac:dyDescent="0.25">
      <c r="A36" s="70">
        <v>6152</v>
      </c>
      <c r="B36" s="71" t="s">
        <v>292</v>
      </c>
      <c r="C36" s="71">
        <f>VLOOKUP(A36,آبان!A:C,3,0)</f>
        <v>519</v>
      </c>
      <c r="D36" s="71">
        <v>1404</v>
      </c>
      <c r="E36" s="71">
        <v>9</v>
      </c>
      <c r="F36" s="72">
        <v>0</v>
      </c>
      <c r="G36" s="72">
        <v>110000000</v>
      </c>
      <c r="H36" s="72">
        <v>0</v>
      </c>
      <c r="I36" s="72">
        <v>6000000</v>
      </c>
    </row>
    <row r="37" spans="1:9" x14ac:dyDescent="0.25">
      <c r="A37" s="70">
        <v>6447</v>
      </c>
      <c r="B37" s="71" t="s">
        <v>204</v>
      </c>
      <c r="C37" s="71">
        <f>VLOOKUP(A37,آبان!A:C,3,0)</f>
        <v>91</v>
      </c>
      <c r="D37" s="71">
        <v>1404</v>
      </c>
      <c r="E37" s="71">
        <v>9</v>
      </c>
      <c r="F37" s="72">
        <v>29850000</v>
      </c>
      <c r="G37" s="72">
        <v>0</v>
      </c>
      <c r="H37" s="72">
        <v>0</v>
      </c>
      <c r="I37" s="72">
        <v>0</v>
      </c>
    </row>
    <row r="38" spans="1:9" x14ac:dyDescent="0.25">
      <c r="A38" s="70">
        <v>4654</v>
      </c>
      <c r="B38" s="71" t="s">
        <v>18</v>
      </c>
      <c r="C38" s="71">
        <f>VLOOKUP(A38,آبان!A:C,3,0)</f>
        <v>85</v>
      </c>
      <c r="D38" s="71">
        <v>1404</v>
      </c>
      <c r="E38" s="71">
        <v>9</v>
      </c>
      <c r="F38" s="72">
        <v>39800000</v>
      </c>
      <c r="G38" s="72">
        <v>40000000</v>
      </c>
      <c r="H38" s="72">
        <v>0</v>
      </c>
      <c r="I38" s="72">
        <v>4500000</v>
      </c>
    </row>
    <row r="39" spans="1:9" x14ac:dyDescent="0.25">
      <c r="A39" s="70">
        <v>4655</v>
      </c>
      <c r="B39" s="71" t="s">
        <v>19</v>
      </c>
      <c r="C39" s="71">
        <f>VLOOKUP(A39,آبان!A:C,3,0)</f>
        <v>122</v>
      </c>
      <c r="D39" s="71">
        <v>1404</v>
      </c>
      <c r="E39" s="71">
        <v>9</v>
      </c>
      <c r="F39" s="72">
        <v>0</v>
      </c>
      <c r="G39" s="72">
        <v>30000000</v>
      </c>
      <c r="H39" s="72">
        <v>0</v>
      </c>
      <c r="I39" s="72">
        <v>7117000</v>
      </c>
    </row>
    <row r="40" spans="1:9" x14ac:dyDescent="0.25">
      <c r="A40" s="70">
        <v>4656</v>
      </c>
      <c r="B40" s="71" t="s">
        <v>20</v>
      </c>
      <c r="C40" s="71">
        <f>VLOOKUP(A40,آبان!A:C,3,0)</f>
        <v>39</v>
      </c>
      <c r="D40" s="71">
        <v>1404</v>
      </c>
      <c r="E40" s="71">
        <v>9</v>
      </c>
      <c r="F40" s="72">
        <v>0</v>
      </c>
      <c r="G40" s="72">
        <v>90000000</v>
      </c>
      <c r="H40" s="72">
        <v>0</v>
      </c>
      <c r="I40" s="72">
        <v>6200000</v>
      </c>
    </row>
    <row r="41" spans="1:9" x14ac:dyDescent="0.25">
      <c r="A41" s="70">
        <v>4657</v>
      </c>
      <c r="B41" s="71" t="s">
        <v>21</v>
      </c>
      <c r="C41" s="71">
        <f>VLOOKUP(A41,آبان!A:C,3,0)</f>
        <v>71</v>
      </c>
      <c r="D41" s="71">
        <v>1404</v>
      </c>
      <c r="E41" s="71">
        <v>9</v>
      </c>
      <c r="F41" s="72">
        <v>39800000</v>
      </c>
      <c r="G41" s="72">
        <v>40000000</v>
      </c>
      <c r="H41" s="72">
        <v>0</v>
      </c>
      <c r="I41" s="72">
        <v>0</v>
      </c>
    </row>
    <row r="42" spans="1:9" x14ac:dyDescent="0.25">
      <c r="A42" s="70">
        <v>4660</v>
      </c>
      <c r="B42" s="71" t="s">
        <v>23</v>
      </c>
      <c r="C42" s="71">
        <f>VLOOKUP(A42,آبان!A:C,3,0)</f>
        <v>72</v>
      </c>
      <c r="D42" s="71">
        <v>1404</v>
      </c>
      <c r="E42" s="71">
        <v>9</v>
      </c>
      <c r="F42" s="72">
        <v>39800000</v>
      </c>
      <c r="G42" s="72">
        <v>40000000</v>
      </c>
      <c r="H42" s="72">
        <v>0</v>
      </c>
      <c r="I42" s="72">
        <v>0</v>
      </c>
    </row>
    <row r="43" spans="1:9" x14ac:dyDescent="0.25">
      <c r="A43" s="70">
        <v>4663</v>
      </c>
      <c r="B43" s="71" t="s">
        <v>25</v>
      </c>
      <c r="C43" s="71">
        <f>VLOOKUP(A43,آبان!A:C,3,0)</f>
        <v>70</v>
      </c>
      <c r="D43" s="71">
        <v>1404</v>
      </c>
      <c r="E43" s="71">
        <v>9</v>
      </c>
      <c r="F43" s="72">
        <v>79600000</v>
      </c>
      <c r="G43" s="72">
        <v>60000000</v>
      </c>
      <c r="H43" s="72">
        <v>0</v>
      </c>
      <c r="I43" s="72">
        <v>2120000</v>
      </c>
    </row>
    <row r="44" spans="1:9" x14ac:dyDescent="0.25">
      <c r="A44" s="70">
        <v>4666</v>
      </c>
      <c r="B44" s="71" t="s">
        <v>28</v>
      </c>
      <c r="C44" s="71">
        <f>VLOOKUP(A44,آبان!A:C,3,0)</f>
        <v>69</v>
      </c>
      <c r="D44" s="71">
        <v>1404</v>
      </c>
      <c r="E44" s="71">
        <v>9</v>
      </c>
      <c r="F44" s="72">
        <v>49750000</v>
      </c>
      <c r="G44" s="72">
        <v>110000000</v>
      </c>
      <c r="H44" s="72">
        <v>0</v>
      </c>
      <c r="I44" s="72">
        <v>0</v>
      </c>
    </row>
    <row r="45" spans="1:9" x14ac:dyDescent="0.25">
      <c r="A45" s="70">
        <v>4669</v>
      </c>
      <c r="B45" s="71" t="s">
        <v>31</v>
      </c>
      <c r="C45" s="71">
        <f>VLOOKUP(A45,آبان!A:C,3,0)</f>
        <v>68</v>
      </c>
      <c r="D45" s="71">
        <v>1404</v>
      </c>
      <c r="E45" s="71">
        <v>9</v>
      </c>
      <c r="F45" s="72">
        <v>69650000</v>
      </c>
      <c r="G45" s="72">
        <v>0</v>
      </c>
      <c r="H45" s="72">
        <v>0</v>
      </c>
      <c r="I45" s="72">
        <v>0</v>
      </c>
    </row>
    <row r="46" spans="1:9" x14ac:dyDescent="0.25">
      <c r="A46" s="70">
        <v>4671</v>
      </c>
      <c r="B46" s="71" t="s">
        <v>33</v>
      </c>
      <c r="C46" s="71">
        <f>VLOOKUP(A46,آبان!A:C,3,0)</f>
        <v>73</v>
      </c>
      <c r="D46" s="71">
        <v>1404</v>
      </c>
      <c r="E46" s="71">
        <v>9</v>
      </c>
      <c r="F46" s="72">
        <v>19900000</v>
      </c>
      <c r="G46" s="72">
        <v>0</v>
      </c>
      <c r="H46" s="72">
        <v>0</v>
      </c>
      <c r="I46" s="72">
        <v>300000</v>
      </c>
    </row>
    <row r="47" spans="1:9" x14ac:dyDescent="0.25">
      <c r="A47" s="70">
        <v>4728</v>
      </c>
      <c r="B47" s="71" t="s">
        <v>43</v>
      </c>
      <c r="C47" s="71">
        <f>VLOOKUP(A47,آبان!A:C,3,0)</f>
        <v>144</v>
      </c>
      <c r="D47" s="71">
        <v>1404</v>
      </c>
      <c r="E47" s="71">
        <v>9</v>
      </c>
      <c r="F47" s="72">
        <v>9950000</v>
      </c>
      <c r="G47" s="72">
        <v>0</v>
      </c>
      <c r="H47" s="72">
        <v>0</v>
      </c>
      <c r="I47" s="72">
        <v>0</v>
      </c>
    </row>
    <row r="48" spans="1:9" x14ac:dyDescent="0.25">
      <c r="A48" s="70">
        <v>4735</v>
      </c>
      <c r="B48" s="71" t="s">
        <v>45</v>
      </c>
      <c r="C48" s="71">
        <f>VLOOKUP(A48,آبان!A:C,3,0)</f>
        <v>141</v>
      </c>
      <c r="D48" s="71">
        <v>1404</v>
      </c>
      <c r="E48" s="71">
        <v>9</v>
      </c>
      <c r="F48" s="72">
        <v>49750000</v>
      </c>
      <c r="G48" s="72">
        <v>0</v>
      </c>
      <c r="H48" s="72">
        <v>0</v>
      </c>
      <c r="I48" s="72">
        <v>3300000</v>
      </c>
    </row>
    <row r="49" spans="1:9" x14ac:dyDescent="0.25">
      <c r="A49" s="70">
        <v>5616</v>
      </c>
      <c r="B49" s="71" t="s">
        <v>46</v>
      </c>
      <c r="C49" s="71">
        <f>VLOOKUP(A49,آبان!A:C,3,0)</f>
        <v>40</v>
      </c>
      <c r="D49" s="71">
        <v>1404</v>
      </c>
      <c r="E49" s="71">
        <v>9</v>
      </c>
      <c r="F49" s="72">
        <v>49750000</v>
      </c>
      <c r="G49" s="72">
        <v>0</v>
      </c>
      <c r="H49" s="72">
        <v>0</v>
      </c>
      <c r="I49" s="72">
        <v>4500000</v>
      </c>
    </row>
    <row r="50" spans="1:9" x14ac:dyDescent="0.25">
      <c r="A50" s="70">
        <v>5624</v>
      </c>
      <c r="B50" s="71" t="s">
        <v>49</v>
      </c>
      <c r="C50" s="71">
        <f>VLOOKUP(A50,آبان!A:C,3,0)</f>
        <v>109</v>
      </c>
      <c r="D50" s="71">
        <v>1404</v>
      </c>
      <c r="E50" s="71">
        <v>9</v>
      </c>
      <c r="F50" s="72">
        <v>19900000</v>
      </c>
      <c r="G50" s="72">
        <v>0</v>
      </c>
      <c r="H50" s="72">
        <v>0</v>
      </c>
      <c r="I50" s="72">
        <v>4500000</v>
      </c>
    </row>
    <row r="51" spans="1:9" x14ac:dyDescent="0.25">
      <c r="A51" s="70">
        <v>5627</v>
      </c>
      <c r="B51" s="71" t="s">
        <v>51</v>
      </c>
      <c r="C51" s="71">
        <f>VLOOKUP(A51,آبان!A:C,3,0)</f>
        <v>101</v>
      </c>
      <c r="D51" s="71">
        <v>1404</v>
      </c>
      <c r="E51" s="71">
        <v>9</v>
      </c>
      <c r="F51" s="72">
        <v>29850000</v>
      </c>
      <c r="G51" s="72">
        <v>0</v>
      </c>
      <c r="H51" s="72">
        <v>0</v>
      </c>
      <c r="I51" s="72">
        <v>0</v>
      </c>
    </row>
    <row r="52" spans="1:9" x14ac:dyDescent="0.25">
      <c r="A52" s="70">
        <v>5628</v>
      </c>
      <c r="B52" s="71" t="s">
        <v>52</v>
      </c>
      <c r="C52" s="71">
        <f>VLOOKUP(A52,آبان!A:C,3,0)</f>
        <v>123</v>
      </c>
      <c r="D52" s="71">
        <v>1404</v>
      </c>
      <c r="E52" s="71">
        <v>9</v>
      </c>
      <c r="F52" s="72">
        <v>19900000</v>
      </c>
      <c r="G52" s="72">
        <v>0</v>
      </c>
      <c r="H52" s="72">
        <v>0</v>
      </c>
      <c r="I52" s="72">
        <v>4500000</v>
      </c>
    </row>
    <row r="53" spans="1:9" x14ac:dyDescent="0.25">
      <c r="A53" s="70">
        <v>5629</v>
      </c>
      <c r="B53" s="71" t="s">
        <v>53</v>
      </c>
      <c r="C53" s="71">
        <f>VLOOKUP(A53,آبان!A:C,3,0)</f>
        <v>46</v>
      </c>
      <c r="D53" s="71">
        <v>1404</v>
      </c>
      <c r="E53" s="71">
        <v>9</v>
      </c>
      <c r="F53" s="72">
        <v>19900000</v>
      </c>
      <c r="G53" s="72">
        <v>50000000</v>
      </c>
      <c r="H53" s="72">
        <v>0</v>
      </c>
      <c r="I53" s="72">
        <v>4500000</v>
      </c>
    </row>
    <row r="54" spans="1:9" x14ac:dyDescent="0.25">
      <c r="A54" s="70">
        <v>5685</v>
      </c>
      <c r="B54" s="71" t="s">
        <v>67</v>
      </c>
      <c r="C54" s="71">
        <f>VLOOKUP(A54,آبان!A:C,3,0)</f>
        <v>142</v>
      </c>
      <c r="D54" s="71">
        <v>1404</v>
      </c>
      <c r="E54" s="71">
        <v>9</v>
      </c>
      <c r="F54" s="72">
        <v>29850000</v>
      </c>
      <c r="G54" s="72">
        <v>0</v>
      </c>
      <c r="H54" s="72">
        <v>0</v>
      </c>
      <c r="I54" s="72">
        <v>0</v>
      </c>
    </row>
    <row r="55" spans="1:9" x14ac:dyDescent="0.25">
      <c r="A55" s="70">
        <v>5708</v>
      </c>
      <c r="B55" s="71" t="s">
        <v>72</v>
      </c>
      <c r="C55" s="71">
        <f>VLOOKUP(A55,آبان!A:C,3,0)</f>
        <v>50</v>
      </c>
      <c r="D55" s="71">
        <v>1404</v>
      </c>
      <c r="E55" s="71">
        <v>9</v>
      </c>
      <c r="F55" s="72">
        <v>29850000</v>
      </c>
      <c r="G55" s="72">
        <v>0</v>
      </c>
      <c r="H55" s="72">
        <v>0</v>
      </c>
      <c r="I55" s="72">
        <v>0</v>
      </c>
    </row>
    <row r="56" spans="1:9" x14ac:dyDescent="0.25">
      <c r="A56" s="70">
        <v>5710</v>
      </c>
      <c r="B56" s="71" t="s">
        <v>73</v>
      </c>
      <c r="C56" s="71">
        <f>VLOOKUP(A56,آبان!A:C,3,0)</f>
        <v>74</v>
      </c>
      <c r="D56" s="71">
        <v>1404</v>
      </c>
      <c r="E56" s="71">
        <v>9</v>
      </c>
      <c r="F56" s="72">
        <v>29850000</v>
      </c>
      <c r="G56" s="72">
        <v>30000000</v>
      </c>
      <c r="H56" s="72">
        <v>0</v>
      </c>
      <c r="I56" s="72">
        <v>0</v>
      </c>
    </row>
    <row r="57" spans="1:9" x14ac:dyDescent="0.25">
      <c r="A57" s="70">
        <v>5727</v>
      </c>
      <c r="B57" s="71" t="s">
        <v>76</v>
      </c>
      <c r="C57" s="71">
        <f>VLOOKUP(A57,آبان!A:C,3,0)</f>
        <v>47</v>
      </c>
      <c r="D57" s="71">
        <v>1404</v>
      </c>
      <c r="E57" s="71">
        <v>9</v>
      </c>
      <c r="F57" s="72">
        <v>59700000</v>
      </c>
      <c r="G57" s="72">
        <v>50000000</v>
      </c>
      <c r="H57" s="72">
        <v>0</v>
      </c>
      <c r="I57" s="72">
        <v>0</v>
      </c>
    </row>
    <row r="58" spans="1:9" x14ac:dyDescent="0.25">
      <c r="A58" s="70">
        <v>5734</v>
      </c>
      <c r="B58" s="71" t="s">
        <v>77</v>
      </c>
      <c r="C58" s="71">
        <f>VLOOKUP(A58,آبان!A:C,3,0)</f>
        <v>98</v>
      </c>
      <c r="D58" s="71">
        <v>1404</v>
      </c>
      <c r="E58" s="71">
        <v>9</v>
      </c>
      <c r="F58" s="72">
        <v>19900000</v>
      </c>
      <c r="G58" s="72">
        <v>40000000</v>
      </c>
      <c r="H58" s="72">
        <v>0</v>
      </c>
      <c r="I58" s="72">
        <v>0</v>
      </c>
    </row>
    <row r="59" spans="1:9" x14ac:dyDescent="0.25">
      <c r="A59" s="70">
        <v>5765</v>
      </c>
      <c r="B59" s="71" t="s">
        <v>80</v>
      </c>
      <c r="C59" s="71">
        <f>VLOOKUP(A59,آبان!A:C,3,0)</f>
        <v>51</v>
      </c>
      <c r="D59" s="71">
        <v>1404</v>
      </c>
      <c r="E59" s="71">
        <v>9</v>
      </c>
      <c r="F59" s="72">
        <v>29850000</v>
      </c>
      <c r="G59" s="72">
        <v>0</v>
      </c>
      <c r="H59" s="72">
        <v>0</v>
      </c>
      <c r="I59" s="72">
        <v>0</v>
      </c>
    </row>
    <row r="60" spans="1:9" x14ac:dyDescent="0.25">
      <c r="A60" s="70">
        <v>4590</v>
      </c>
      <c r="B60" s="71" t="s">
        <v>6</v>
      </c>
      <c r="C60" s="71">
        <f>VLOOKUP(A60,آبان!A:C,3,0)</f>
        <v>30</v>
      </c>
      <c r="D60" s="71">
        <v>1404</v>
      </c>
      <c r="E60" s="71">
        <v>9</v>
      </c>
      <c r="F60" s="72">
        <v>0</v>
      </c>
      <c r="G60" s="72">
        <v>40000000</v>
      </c>
      <c r="H60" s="72">
        <v>0</v>
      </c>
      <c r="I60" s="72">
        <v>0</v>
      </c>
    </row>
    <row r="61" spans="1:9" x14ac:dyDescent="0.25">
      <c r="A61" s="70">
        <v>4597</v>
      </c>
      <c r="B61" s="71" t="s">
        <v>7</v>
      </c>
      <c r="C61" s="71">
        <f>VLOOKUP(A61,آبان!A:C,3,0)</f>
        <v>38</v>
      </c>
      <c r="D61" s="71">
        <v>1404</v>
      </c>
      <c r="E61" s="71">
        <v>9</v>
      </c>
      <c r="F61" s="72">
        <v>39800000</v>
      </c>
      <c r="G61" s="72">
        <v>60000000</v>
      </c>
      <c r="H61" s="72">
        <v>0</v>
      </c>
      <c r="I61" s="72">
        <v>2000000</v>
      </c>
    </row>
    <row r="62" spans="1:9" x14ac:dyDescent="0.25">
      <c r="A62" s="70">
        <v>4686</v>
      </c>
      <c r="B62" s="71" t="s">
        <v>35</v>
      </c>
      <c r="C62" s="71">
        <f>VLOOKUP(A62,آبان!A:C,3,0)</f>
        <v>27</v>
      </c>
      <c r="D62" s="71">
        <v>1404</v>
      </c>
      <c r="E62" s="71">
        <v>9</v>
      </c>
      <c r="F62" s="72">
        <v>19900000</v>
      </c>
      <c r="G62" s="72">
        <v>0</v>
      </c>
      <c r="H62" s="72">
        <v>0</v>
      </c>
      <c r="I62" s="72">
        <v>0</v>
      </c>
    </row>
    <row r="63" spans="1:9" x14ac:dyDescent="0.25">
      <c r="A63" s="70">
        <v>4693</v>
      </c>
      <c r="B63" s="71" t="s">
        <v>39</v>
      </c>
      <c r="C63" s="71">
        <f>VLOOKUP(A63,آبان!A:C,3,0)</f>
        <v>24</v>
      </c>
      <c r="D63" s="71">
        <v>1404</v>
      </c>
      <c r="E63" s="71">
        <v>9</v>
      </c>
      <c r="F63" s="72">
        <v>9950000</v>
      </c>
      <c r="G63" s="72">
        <v>0</v>
      </c>
      <c r="H63" s="72">
        <v>0</v>
      </c>
      <c r="I63" s="72">
        <v>12900000</v>
      </c>
    </row>
    <row r="64" spans="1:9" x14ac:dyDescent="0.25">
      <c r="A64" s="70">
        <v>4705</v>
      </c>
      <c r="B64" s="71" t="s">
        <v>41</v>
      </c>
      <c r="C64" s="71">
        <f>VLOOKUP(A64,آبان!A:C,3,0)</f>
        <v>134</v>
      </c>
      <c r="D64" s="71">
        <v>1404</v>
      </c>
      <c r="E64" s="71">
        <v>9</v>
      </c>
      <c r="F64" s="72">
        <v>9950000</v>
      </c>
      <c r="G64" s="72">
        <v>0</v>
      </c>
      <c r="H64" s="72">
        <v>0</v>
      </c>
      <c r="I64" s="72">
        <v>4500000</v>
      </c>
    </row>
    <row r="65" spans="1:9" x14ac:dyDescent="0.25">
      <c r="A65" s="70">
        <v>4727</v>
      </c>
      <c r="B65" s="71" t="s">
        <v>42</v>
      </c>
      <c r="C65" s="71">
        <f>VLOOKUP(A65,آبان!A:C,3,0)</f>
        <v>58</v>
      </c>
      <c r="D65" s="71">
        <v>1404</v>
      </c>
      <c r="E65" s="71">
        <v>9</v>
      </c>
      <c r="F65" s="72">
        <v>9950000</v>
      </c>
      <c r="G65" s="72">
        <v>0</v>
      </c>
      <c r="H65" s="72">
        <v>0</v>
      </c>
      <c r="I65" s="72">
        <v>7300000</v>
      </c>
    </row>
    <row r="66" spans="1:9" x14ac:dyDescent="0.25">
      <c r="A66" s="70">
        <v>6114</v>
      </c>
      <c r="B66" s="71" t="s">
        <v>241</v>
      </c>
      <c r="C66" s="71">
        <f>VLOOKUP(A66,آبان!A:C,3,0)</f>
        <v>467</v>
      </c>
      <c r="D66" s="71">
        <v>1404</v>
      </c>
      <c r="E66" s="71">
        <v>9</v>
      </c>
      <c r="F66" s="72">
        <v>29850000</v>
      </c>
      <c r="G66" s="72">
        <v>100000000</v>
      </c>
      <c r="H66" s="72">
        <v>0</v>
      </c>
      <c r="I66" s="72">
        <v>3600000</v>
      </c>
    </row>
    <row r="67" spans="1:9" x14ac:dyDescent="0.25">
      <c r="A67" s="70">
        <v>5653</v>
      </c>
      <c r="B67" s="71" t="s">
        <v>210</v>
      </c>
      <c r="C67" s="71">
        <f>VLOOKUP(A67,آبان!A:C,3,0)</f>
        <v>464</v>
      </c>
      <c r="D67" s="71">
        <v>1404</v>
      </c>
      <c r="E67" s="71">
        <v>9</v>
      </c>
      <c r="F67" s="72">
        <v>0</v>
      </c>
      <c r="G67" s="72">
        <v>30000000</v>
      </c>
      <c r="H67" s="72">
        <v>0</v>
      </c>
      <c r="I67" s="72">
        <v>2900000</v>
      </c>
    </row>
    <row r="68" spans="1:9" x14ac:dyDescent="0.25">
      <c r="A68" s="70">
        <v>5829</v>
      </c>
      <c r="B68" s="71" t="s">
        <v>96</v>
      </c>
      <c r="C68" s="71">
        <f>VLOOKUP(A68,آبان!A:C,3,0)</f>
        <v>56</v>
      </c>
      <c r="D68" s="71">
        <v>1404</v>
      </c>
      <c r="E68" s="71">
        <v>9</v>
      </c>
      <c r="F68" s="72">
        <v>0</v>
      </c>
      <c r="G68" s="72">
        <v>0</v>
      </c>
      <c r="H68" s="72">
        <v>0</v>
      </c>
      <c r="I68" s="72">
        <v>2700000</v>
      </c>
    </row>
    <row r="69" spans="1:9" x14ac:dyDescent="0.25">
      <c r="A69" s="70">
        <v>5952</v>
      </c>
      <c r="B69" s="71" t="s">
        <v>215</v>
      </c>
      <c r="C69" s="71">
        <f>VLOOKUP(A69,آبان!A:C,3,0)</f>
        <v>307</v>
      </c>
      <c r="D69" s="71">
        <v>1404</v>
      </c>
      <c r="E69" s="71">
        <v>9</v>
      </c>
      <c r="F69" s="72">
        <v>0</v>
      </c>
      <c r="G69" s="72">
        <v>30000000</v>
      </c>
      <c r="H69" s="72">
        <v>0</v>
      </c>
      <c r="I69" s="72">
        <v>0</v>
      </c>
    </row>
    <row r="70" spans="1:9" x14ac:dyDescent="0.25">
      <c r="A70" s="70">
        <v>5970</v>
      </c>
      <c r="B70" s="71" t="s">
        <v>218</v>
      </c>
      <c r="C70" s="71">
        <v>204</v>
      </c>
      <c r="D70" s="71">
        <v>1404</v>
      </c>
      <c r="E70" s="71">
        <v>9</v>
      </c>
      <c r="F70" s="72">
        <v>0</v>
      </c>
      <c r="G70" s="72">
        <v>0</v>
      </c>
      <c r="H70" s="72">
        <v>0</v>
      </c>
      <c r="I70" s="72">
        <v>2900000</v>
      </c>
    </row>
    <row r="71" spans="1:9" x14ac:dyDescent="0.25">
      <c r="A71" s="70">
        <v>5971</v>
      </c>
      <c r="B71" s="71" t="s">
        <v>219</v>
      </c>
      <c r="C71" s="71">
        <v>203</v>
      </c>
      <c r="D71" s="71">
        <v>1404</v>
      </c>
      <c r="E71" s="71">
        <v>9</v>
      </c>
      <c r="F71" s="72">
        <v>0</v>
      </c>
      <c r="G71" s="72">
        <v>0</v>
      </c>
      <c r="H71" s="72">
        <v>0</v>
      </c>
      <c r="I71" s="72">
        <v>600000</v>
      </c>
    </row>
    <row r="72" spans="1:9" x14ac:dyDescent="0.25">
      <c r="A72" s="70">
        <v>6000</v>
      </c>
      <c r="B72" s="71" t="s">
        <v>157</v>
      </c>
      <c r="C72" s="71">
        <f>VLOOKUP(A72,آبان!A:C,3,0)</f>
        <v>363</v>
      </c>
      <c r="D72" s="71">
        <v>1404</v>
      </c>
      <c r="E72" s="71">
        <v>9</v>
      </c>
      <c r="F72" s="72">
        <v>0</v>
      </c>
      <c r="G72" s="72">
        <v>0</v>
      </c>
      <c r="H72" s="72">
        <v>0</v>
      </c>
      <c r="I72" s="72">
        <v>1500000</v>
      </c>
    </row>
    <row r="73" spans="1:9" x14ac:dyDescent="0.25">
      <c r="A73" s="70">
        <v>6001</v>
      </c>
      <c r="B73" s="71" t="s">
        <v>227</v>
      </c>
      <c r="C73" s="71">
        <f>VLOOKUP(A73,آبان!A:C,3,0)</f>
        <v>366</v>
      </c>
      <c r="D73" s="71">
        <v>1404</v>
      </c>
      <c r="E73" s="71">
        <v>9</v>
      </c>
      <c r="F73" s="72">
        <v>49750000</v>
      </c>
      <c r="G73" s="72">
        <v>0</v>
      </c>
      <c r="H73" s="72">
        <v>0</v>
      </c>
      <c r="I73" s="72">
        <v>0</v>
      </c>
    </row>
    <row r="74" spans="1:9" x14ac:dyDescent="0.25">
      <c r="A74" s="70">
        <v>6014</v>
      </c>
      <c r="B74" s="71" t="s">
        <v>299</v>
      </c>
      <c r="C74" s="71">
        <v>319</v>
      </c>
      <c r="D74" s="71">
        <v>1404</v>
      </c>
      <c r="E74" s="71">
        <v>9</v>
      </c>
      <c r="F74" s="72">
        <v>0</v>
      </c>
      <c r="G74" s="72">
        <v>0</v>
      </c>
      <c r="H74" s="72">
        <v>0</v>
      </c>
      <c r="I74" s="72">
        <v>3900000</v>
      </c>
    </row>
    <row r="75" spans="1:9" x14ac:dyDescent="0.25">
      <c r="A75" s="70">
        <v>6124</v>
      </c>
      <c r="B75" s="71" t="s">
        <v>288</v>
      </c>
      <c r="C75" s="71">
        <f>VLOOKUP(A75,آبان!A:C,3,0)</f>
        <v>455</v>
      </c>
      <c r="D75" s="71">
        <v>1404</v>
      </c>
      <c r="E75" s="71">
        <v>9</v>
      </c>
      <c r="F75" s="72">
        <v>0</v>
      </c>
      <c r="G75" s="72">
        <v>30000000</v>
      </c>
      <c r="H75" s="72">
        <v>0</v>
      </c>
      <c r="I75" s="72">
        <v>12700000</v>
      </c>
    </row>
    <row r="76" spans="1:9" x14ac:dyDescent="0.25">
      <c r="A76" s="70">
        <v>6128</v>
      </c>
      <c r="B76" s="71" t="s">
        <v>300</v>
      </c>
      <c r="C76" s="71">
        <v>493</v>
      </c>
      <c r="D76" s="71">
        <v>1404</v>
      </c>
      <c r="E76" s="71">
        <v>9</v>
      </c>
      <c r="F76" s="72">
        <v>0</v>
      </c>
      <c r="G76" s="72">
        <v>0</v>
      </c>
      <c r="H76" s="72">
        <v>0</v>
      </c>
      <c r="I76" s="72">
        <v>2700000</v>
      </c>
    </row>
    <row r="77" spans="1:9" x14ac:dyDescent="0.25">
      <c r="A77" s="70">
        <v>6129</v>
      </c>
      <c r="B77" s="71" t="s">
        <v>289</v>
      </c>
      <c r="C77" s="71">
        <f>VLOOKUP(A77,آبان!A:C,3,0)</f>
        <v>494</v>
      </c>
      <c r="D77" s="71">
        <v>1404</v>
      </c>
      <c r="E77" s="71">
        <v>9</v>
      </c>
      <c r="F77" s="72">
        <v>0</v>
      </c>
      <c r="G77" s="72">
        <v>0</v>
      </c>
      <c r="H77" s="72">
        <v>0</v>
      </c>
      <c r="I77" s="72">
        <v>12100000</v>
      </c>
    </row>
    <row r="78" spans="1:9" x14ac:dyDescent="0.25">
      <c r="A78" s="70">
        <v>6189</v>
      </c>
      <c r="B78" s="71" t="s">
        <v>301</v>
      </c>
      <c r="C78" s="71">
        <v>597</v>
      </c>
      <c r="D78" s="71">
        <v>1404</v>
      </c>
      <c r="E78" s="71">
        <v>9</v>
      </c>
      <c r="F78" s="72">
        <v>0</v>
      </c>
      <c r="G78" s="72">
        <v>0</v>
      </c>
      <c r="H78" s="72">
        <v>0</v>
      </c>
      <c r="I78" s="72">
        <v>2100000</v>
      </c>
    </row>
    <row r="79" spans="1:9" x14ac:dyDescent="0.25">
      <c r="A79" s="70">
        <v>5863</v>
      </c>
      <c r="B79" s="71" t="s">
        <v>107</v>
      </c>
      <c r="C79" s="71">
        <f>VLOOKUP(A79,آبان!A:C,3,0)</f>
        <v>2</v>
      </c>
      <c r="D79" s="71">
        <v>1404</v>
      </c>
      <c r="E79" s="71">
        <v>9</v>
      </c>
      <c r="F79" s="72">
        <v>39800000</v>
      </c>
      <c r="G79" s="72">
        <v>194702857</v>
      </c>
      <c r="H79" s="72">
        <v>0</v>
      </c>
      <c r="I79" s="72">
        <v>0</v>
      </c>
    </row>
    <row r="80" spans="1:9" x14ac:dyDescent="0.25">
      <c r="A80" s="70">
        <v>5890</v>
      </c>
      <c r="B80" s="71" t="s">
        <v>116</v>
      </c>
      <c r="C80" s="71">
        <f>VLOOKUP(A80,آبان!A:C,3,0)</f>
        <v>15</v>
      </c>
      <c r="D80" s="71">
        <v>1404</v>
      </c>
      <c r="E80" s="71">
        <v>9</v>
      </c>
      <c r="F80" s="72">
        <v>49750000</v>
      </c>
      <c r="G80" s="72">
        <v>0</v>
      </c>
      <c r="H80" s="72">
        <v>0</v>
      </c>
      <c r="I80" s="72">
        <v>2700000</v>
      </c>
    </row>
    <row r="81" spans="1:9" x14ac:dyDescent="0.25">
      <c r="A81" s="70">
        <v>5918</v>
      </c>
      <c r="B81" s="71" t="s">
        <v>126</v>
      </c>
      <c r="C81" s="71">
        <f>VLOOKUP(A81,آبان!A:C,3,0)</f>
        <v>9</v>
      </c>
      <c r="D81" s="71">
        <v>1404</v>
      </c>
      <c r="E81" s="71">
        <v>9</v>
      </c>
      <c r="F81" s="72">
        <v>39800000</v>
      </c>
      <c r="G81" s="72">
        <v>45853333</v>
      </c>
      <c r="H81" s="72">
        <v>0</v>
      </c>
      <c r="I81" s="72">
        <v>0</v>
      </c>
    </row>
    <row r="82" spans="1:9" x14ac:dyDescent="0.25">
      <c r="A82" s="70">
        <v>6093</v>
      </c>
      <c r="B82" s="71" t="s">
        <v>195</v>
      </c>
      <c r="C82" s="71">
        <f>VLOOKUP(A82,آبان!A:C,3,0)</f>
        <v>447</v>
      </c>
      <c r="D82" s="71">
        <v>1404</v>
      </c>
      <c r="E82" s="71">
        <v>9</v>
      </c>
      <c r="F82" s="72">
        <v>39800000</v>
      </c>
      <c r="G82" s="72">
        <v>77717000</v>
      </c>
      <c r="H82" s="72">
        <v>0</v>
      </c>
      <c r="I82" s="72">
        <v>2400000</v>
      </c>
    </row>
    <row r="83" spans="1:9" x14ac:dyDescent="0.25">
      <c r="A83" s="70">
        <v>5638</v>
      </c>
      <c r="B83" s="71" t="s">
        <v>59</v>
      </c>
      <c r="C83" s="71">
        <f>VLOOKUP(A83,آبان!A:C,3,0)</f>
        <v>87</v>
      </c>
      <c r="D83" s="71">
        <v>1404</v>
      </c>
      <c r="E83" s="71">
        <v>9</v>
      </c>
      <c r="F83" s="72">
        <v>19900000</v>
      </c>
      <c r="G83" s="72">
        <v>0</v>
      </c>
      <c r="H83" s="72">
        <v>0</v>
      </c>
      <c r="I83" s="72">
        <v>22400000</v>
      </c>
    </row>
    <row r="84" spans="1:9" x14ac:dyDescent="0.25">
      <c r="A84" s="70">
        <v>5744</v>
      </c>
      <c r="B84" s="71" t="s">
        <v>78</v>
      </c>
      <c r="C84" s="71">
        <f>VLOOKUP(A84,آبان!A:C,3,0)</f>
        <v>3</v>
      </c>
      <c r="D84" s="71">
        <v>1404</v>
      </c>
      <c r="E84" s="71">
        <v>9</v>
      </c>
      <c r="F84" s="72">
        <v>39800000</v>
      </c>
      <c r="G84" s="72">
        <v>117718500</v>
      </c>
      <c r="H84" s="72">
        <v>0</v>
      </c>
      <c r="I84" s="72">
        <v>3900000</v>
      </c>
    </row>
    <row r="85" spans="1:9" x14ac:dyDescent="0.25">
      <c r="A85" s="70">
        <v>5766</v>
      </c>
      <c r="B85" s="71" t="s">
        <v>81</v>
      </c>
      <c r="C85" s="71">
        <f>VLOOKUP(A85,آبان!A:C,3,0)</f>
        <v>135</v>
      </c>
      <c r="D85" s="71">
        <v>1404</v>
      </c>
      <c r="E85" s="71">
        <v>9</v>
      </c>
      <c r="F85" s="72">
        <v>29850000</v>
      </c>
      <c r="G85" s="72">
        <v>0</v>
      </c>
      <c r="H85" s="72">
        <v>0</v>
      </c>
      <c r="I85" s="72">
        <v>1500000</v>
      </c>
    </row>
    <row r="86" spans="1:9" x14ac:dyDescent="0.25">
      <c r="A86" s="70">
        <v>5771</v>
      </c>
      <c r="B86" s="71" t="s">
        <v>82</v>
      </c>
      <c r="C86" s="71">
        <f>VLOOKUP(A86,آبان!A:C,3,0)</f>
        <v>77</v>
      </c>
      <c r="D86" s="71">
        <v>1404</v>
      </c>
      <c r="E86" s="71">
        <v>9</v>
      </c>
      <c r="F86" s="72">
        <v>19900000</v>
      </c>
      <c r="G86" s="72">
        <v>30000000</v>
      </c>
      <c r="H86" s="72">
        <v>0</v>
      </c>
      <c r="I86" s="72">
        <v>0</v>
      </c>
    </row>
    <row r="87" spans="1:9" x14ac:dyDescent="0.25">
      <c r="A87" s="70">
        <v>5783</v>
      </c>
      <c r="B87" s="71" t="s">
        <v>84</v>
      </c>
      <c r="C87" s="71">
        <f>VLOOKUP(A87,آبان!A:C,3,0)</f>
        <v>79</v>
      </c>
      <c r="D87" s="71">
        <v>1404</v>
      </c>
      <c r="E87" s="71">
        <v>9</v>
      </c>
      <c r="F87" s="72">
        <v>39800000</v>
      </c>
      <c r="G87" s="72">
        <v>20000000</v>
      </c>
      <c r="H87" s="72">
        <v>0</v>
      </c>
      <c r="I87" s="72">
        <v>0</v>
      </c>
    </row>
    <row r="88" spans="1:9" x14ac:dyDescent="0.25">
      <c r="A88" s="70">
        <v>5784</v>
      </c>
      <c r="B88" s="71" t="s">
        <v>85</v>
      </c>
      <c r="C88" s="71">
        <f>VLOOKUP(A88,آبان!A:C,3,0)</f>
        <v>148</v>
      </c>
      <c r="D88" s="71">
        <v>1404</v>
      </c>
      <c r="E88" s="71">
        <v>9</v>
      </c>
      <c r="F88" s="72">
        <v>9950000</v>
      </c>
      <c r="G88" s="72">
        <v>20000000</v>
      </c>
      <c r="H88" s="72">
        <v>0</v>
      </c>
      <c r="I88" s="72">
        <v>0</v>
      </c>
    </row>
    <row r="89" spans="1:9" x14ac:dyDescent="0.25">
      <c r="A89" s="70">
        <v>5791</v>
      </c>
      <c r="B89" s="71" t="s">
        <v>86</v>
      </c>
      <c r="C89" s="71">
        <f>VLOOKUP(A89,آبان!A:C,3,0)</f>
        <v>150</v>
      </c>
      <c r="D89" s="71">
        <v>1404</v>
      </c>
      <c r="E89" s="71">
        <v>9</v>
      </c>
      <c r="F89" s="72">
        <v>9950000</v>
      </c>
      <c r="G89" s="72">
        <v>0</v>
      </c>
      <c r="H89" s="72">
        <v>0</v>
      </c>
      <c r="I89" s="72">
        <v>6495000</v>
      </c>
    </row>
    <row r="90" spans="1:9" x14ac:dyDescent="0.25">
      <c r="A90" s="70">
        <v>5793</v>
      </c>
      <c r="B90" s="71" t="s">
        <v>87</v>
      </c>
      <c r="C90" s="71">
        <f>VLOOKUP(A90,آبان!A:C,3,0)</f>
        <v>43</v>
      </c>
      <c r="D90" s="71">
        <v>1404</v>
      </c>
      <c r="E90" s="71">
        <v>9</v>
      </c>
      <c r="F90" s="72">
        <v>0</v>
      </c>
      <c r="G90" s="72">
        <v>70000000</v>
      </c>
      <c r="H90" s="72">
        <v>0</v>
      </c>
      <c r="I90" s="72">
        <v>18000000</v>
      </c>
    </row>
    <row r="91" spans="1:9" x14ac:dyDescent="0.25">
      <c r="A91" s="70">
        <v>5799</v>
      </c>
      <c r="B91" s="71" t="s">
        <v>90</v>
      </c>
      <c r="C91" s="71">
        <f>VLOOKUP(A91,آبان!A:C,3,0)</f>
        <v>224</v>
      </c>
      <c r="D91" s="71">
        <v>1404</v>
      </c>
      <c r="E91" s="71">
        <v>9</v>
      </c>
      <c r="F91" s="72">
        <v>0</v>
      </c>
      <c r="G91" s="72">
        <v>30000000</v>
      </c>
      <c r="H91" s="72">
        <v>0</v>
      </c>
      <c r="I91" s="72">
        <v>4200000</v>
      </c>
    </row>
    <row r="92" spans="1:9" x14ac:dyDescent="0.25">
      <c r="A92" s="70">
        <v>5816</v>
      </c>
      <c r="B92" s="71" t="s">
        <v>92</v>
      </c>
      <c r="C92" s="71">
        <f>VLOOKUP(A92,آبان!A:C,3,0)</f>
        <v>86</v>
      </c>
      <c r="D92" s="71">
        <v>1404</v>
      </c>
      <c r="E92" s="71">
        <v>9</v>
      </c>
      <c r="F92" s="72">
        <v>0</v>
      </c>
      <c r="G92" s="72">
        <v>0</v>
      </c>
      <c r="H92" s="72">
        <v>0</v>
      </c>
      <c r="I92" s="72">
        <v>600000</v>
      </c>
    </row>
    <row r="93" spans="1:9" x14ac:dyDescent="0.25">
      <c r="A93" s="70">
        <v>5824</v>
      </c>
      <c r="B93" s="71" t="s">
        <v>94</v>
      </c>
      <c r="C93" s="71">
        <v>41</v>
      </c>
      <c r="D93" s="71">
        <v>1404</v>
      </c>
      <c r="E93" s="71">
        <v>9</v>
      </c>
      <c r="F93" s="72">
        <v>0</v>
      </c>
      <c r="G93" s="72">
        <v>0</v>
      </c>
      <c r="H93" s="72">
        <v>0</v>
      </c>
      <c r="I93" s="72">
        <v>13000000</v>
      </c>
    </row>
    <row r="94" spans="1:9" x14ac:dyDescent="0.25">
      <c r="A94" s="70">
        <v>5827</v>
      </c>
      <c r="B94" s="71" t="s">
        <v>95</v>
      </c>
      <c r="C94" s="71">
        <f>VLOOKUP(A94,آبان!A:C,3,0)</f>
        <v>53</v>
      </c>
      <c r="D94" s="71">
        <v>1404</v>
      </c>
      <c r="E94" s="71">
        <v>9</v>
      </c>
      <c r="F94" s="72">
        <v>0</v>
      </c>
      <c r="G94" s="72">
        <v>90000000</v>
      </c>
      <c r="H94" s="72">
        <v>0</v>
      </c>
      <c r="I94" s="72">
        <v>4500000</v>
      </c>
    </row>
    <row r="95" spans="1:9" x14ac:dyDescent="0.25">
      <c r="A95" s="70">
        <v>5837</v>
      </c>
      <c r="B95" s="71" t="s">
        <v>100</v>
      </c>
      <c r="C95" s="71">
        <f>VLOOKUP(A95,آبان!A:C,3,0)</f>
        <v>75</v>
      </c>
      <c r="D95" s="71">
        <v>1404</v>
      </c>
      <c r="E95" s="71">
        <v>9</v>
      </c>
      <c r="F95" s="72">
        <v>9950000</v>
      </c>
      <c r="G95" s="72">
        <v>0</v>
      </c>
      <c r="H95" s="72">
        <v>0</v>
      </c>
      <c r="I95" s="72">
        <v>5872600</v>
      </c>
    </row>
    <row r="96" spans="1:9" x14ac:dyDescent="0.25">
      <c r="A96" s="70">
        <v>5842</v>
      </c>
      <c r="B96" s="71" t="s">
        <v>101</v>
      </c>
      <c r="C96" s="71">
        <v>147</v>
      </c>
      <c r="D96" s="71">
        <v>1404</v>
      </c>
      <c r="E96" s="71">
        <v>9</v>
      </c>
      <c r="F96" s="72">
        <v>29850000</v>
      </c>
      <c r="G96" s="72">
        <v>0</v>
      </c>
      <c r="H96" s="72">
        <v>0</v>
      </c>
      <c r="I96" s="72">
        <v>0</v>
      </c>
    </row>
    <row r="97" spans="1:9" x14ac:dyDescent="0.25">
      <c r="A97" s="70">
        <v>5843</v>
      </c>
      <c r="B97" s="71" t="s">
        <v>102</v>
      </c>
      <c r="C97" s="71">
        <f>VLOOKUP(A97,آبان!A:C,3,0)</f>
        <v>76</v>
      </c>
      <c r="D97" s="71">
        <v>1404</v>
      </c>
      <c r="E97" s="71">
        <v>9</v>
      </c>
      <c r="F97" s="72">
        <v>19900000</v>
      </c>
      <c r="G97" s="72">
        <v>0</v>
      </c>
      <c r="H97" s="72">
        <v>0</v>
      </c>
      <c r="I97" s="72">
        <v>0</v>
      </c>
    </row>
    <row r="98" spans="1:9" x14ac:dyDescent="0.25">
      <c r="A98" s="70">
        <v>5857</v>
      </c>
      <c r="B98" s="71" t="s">
        <v>106</v>
      </c>
      <c r="C98" s="71">
        <f>VLOOKUP(A98,آبان!A:C,3,0)</f>
        <v>48</v>
      </c>
      <c r="D98" s="71">
        <v>1404</v>
      </c>
      <c r="E98" s="71">
        <v>9</v>
      </c>
      <c r="F98" s="72">
        <v>9950000</v>
      </c>
      <c r="G98" s="72">
        <v>70000000</v>
      </c>
      <c r="H98" s="72">
        <v>0</v>
      </c>
      <c r="I98" s="72">
        <v>3800000</v>
      </c>
    </row>
    <row r="99" spans="1:9" x14ac:dyDescent="0.25">
      <c r="A99" s="70">
        <v>5867</v>
      </c>
      <c r="B99" s="71" t="s">
        <v>108</v>
      </c>
      <c r="C99" s="71">
        <f>VLOOKUP(A99,آبان!A:C,3,0)</f>
        <v>78</v>
      </c>
      <c r="D99" s="71">
        <v>1404</v>
      </c>
      <c r="E99" s="71">
        <v>9</v>
      </c>
      <c r="F99" s="72">
        <v>9950000</v>
      </c>
      <c r="G99" s="72">
        <v>0</v>
      </c>
      <c r="H99" s="72">
        <v>0</v>
      </c>
      <c r="I99" s="72">
        <v>300000</v>
      </c>
    </row>
    <row r="100" spans="1:9" x14ac:dyDescent="0.25">
      <c r="A100" s="70">
        <v>5870</v>
      </c>
      <c r="B100" s="71" t="s">
        <v>109</v>
      </c>
      <c r="C100" s="71">
        <f>VLOOKUP(A100,آبان!A:C,3,0)</f>
        <v>199</v>
      </c>
      <c r="D100" s="71">
        <v>1404</v>
      </c>
      <c r="E100" s="71">
        <v>9</v>
      </c>
      <c r="F100" s="72">
        <v>9950000</v>
      </c>
      <c r="G100" s="72">
        <v>100000000</v>
      </c>
      <c r="H100" s="72">
        <v>0</v>
      </c>
      <c r="I100" s="72">
        <v>4500000</v>
      </c>
    </row>
    <row r="101" spans="1:9" x14ac:dyDescent="0.25">
      <c r="A101" s="70">
        <v>5885</v>
      </c>
      <c r="B101" s="71" t="s">
        <v>112</v>
      </c>
      <c r="C101" s="71">
        <f>VLOOKUP(A101,آبان!A:C,3,0)</f>
        <v>161</v>
      </c>
      <c r="D101" s="71">
        <v>1404</v>
      </c>
      <c r="E101" s="71">
        <v>9</v>
      </c>
      <c r="F101" s="72">
        <v>19900000</v>
      </c>
      <c r="G101" s="72">
        <v>30000000</v>
      </c>
      <c r="H101" s="72">
        <v>0</v>
      </c>
      <c r="I101" s="72">
        <v>5000000</v>
      </c>
    </row>
    <row r="102" spans="1:9" x14ac:dyDescent="0.25">
      <c r="A102" s="70">
        <v>5886</v>
      </c>
      <c r="B102" s="71" t="s">
        <v>113</v>
      </c>
      <c r="C102" s="71">
        <f>VLOOKUP(A102,آبان!A:C,3,0)</f>
        <v>166</v>
      </c>
      <c r="D102" s="71">
        <v>1404</v>
      </c>
      <c r="E102" s="71">
        <v>9</v>
      </c>
      <c r="F102" s="72">
        <v>9950000</v>
      </c>
      <c r="G102" s="72">
        <v>0</v>
      </c>
      <c r="H102" s="72">
        <v>0</v>
      </c>
      <c r="I102" s="72">
        <v>2400000</v>
      </c>
    </row>
    <row r="103" spans="1:9" x14ac:dyDescent="0.25">
      <c r="A103" s="70">
        <v>5887</v>
      </c>
      <c r="B103" s="71" t="s">
        <v>114</v>
      </c>
      <c r="C103" s="71">
        <f>VLOOKUP(A103,آبان!A:C,3,0)</f>
        <v>167</v>
      </c>
      <c r="D103" s="71">
        <v>1404</v>
      </c>
      <c r="E103" s="71">
        <v>9</v>
      </c>
      <c r="F103" s="72">
        <v>9950000</v>
      </c>
      <c r="G103" s="72">
        <v>0</v>
      </c>
      <c r="H103" s="72">
        <v>0</v>
      </c>
      <c r="I103" s="72">
        <v>4700000</v>
      </c>
    </row>
    <row r="104" spans="1:9" x14ac:dyDescent="0.25">
      <c r="A104" s="70">
        <v>5898</v>
      </c>
      <c r="B104" s="71" t="s">
        <v>117</v>
      </c>
      <c r="C104" s="71">
        <f>VLOOKUP(A104,آبان!A:C,3,0)</f>
        <v>29</v>
      </c>
      <c r="D104" s="71">
        <v>1404</v>
      </c>
      <c r="E104" s="71">
        <v>9</v>
      </c>
      <c r="F104" s="72">
        <v>39800000</v>
      </c>
      <c r="G104" s="72">
        <v>30000000</v>
      </c>
      <c r="H104" s="72">
        <v>0</v>
      </c>
      <c r="I104" s="72">
        <v>4500000</v>
      </c>
    </row>
    <row r="105" spans="1:9" x14ac:dyDescent="0.25">
      <c r="A105" s="70">
        <v>5900</v>
      </c>
      <c r="B105" s="71" t="s">
        <v>118</v>
      </c>
      <c r="C105" s="71">
        <f>VLOOKUP(A105,آبان!A:C,3,0)</f>
        <v>42</v>
      </c>
      <c r="D105" s="71">
        <v>1404</v>
      </c>
      <c r="E105" s="71">
        <v>9</v>
      </c>
      <c r="F105" s="72">
        <v>9950000</v>
      </c>
      <c r="G105" s="72">
        <v>30000000</v>
      </c>
      <c r="H105" s="72">
        <v>0</v>
      </c>
      <c r="I105" s="72">
        <v>4500000</v>
      </c>
    </row>
    <row r="106" spans="1:9" x14ac:dyDescent="0.25">
      <c r="A106" s="70">
        <v>5907</v>
      </c>
      <c r="B106" s="71" t="s">
        <v>123</v>
      </c>
      <c r="C106" s="71">
        <f>VLOOKUP(A106,آبان!A:C,3,0)</f>
        <v>16</v>
      </c>
      <c r="D106" s="71">
        <v>1404</v>
      </c>
      <c r="E106" s="71">
        <v>9</v>
      </c>
      <c r="F106" s="72">
        <v>29850000</v>
      </c>
      <c r="G106" s="72">
        <v>118348841</v>
      </c>
      <c r="H106" s="72">
        <v>0</v>
      </c>
      <c r="I106" s="72">
        <v>0</v>
      </c>
    </row>
    <row r="107" spans="1:9" x14ac:dyDescent="0.25">
      <c r="A107" s="70">
        <v>5908</v>
      </c>
      <c r="B107" s="71" t="s">
        <v>212</v>
      </c>
      <c r="C107" s="71">
        <f>VLOOKUP(A107,آبان!A:C,3,0)</f>
        <v>156</v>
      </c>
      <c r="D107" s="71">
        <v>1404</v>
      </c>
      <c r="E107" s="71">
        <v>9</v>
      </c>
      <c r="F107" s="72">
        <v>0</v>
      </c>
      <c r="G107" s="72">
        <v>30000000</v>
      </c>
      <c r="H107" s="72">
        <v>0</v>
      </c>
      <c r="I107" s="72">
        <v>0</v>
      </c>
    </row>
    <row r="108" spans="1:9" x14ac:dyDescent="0.25">
      <c r="A108" s="70">
        <v>5909</v>
      </c>
      <c r="B108" s="71" t="s">
        <v>124</v>
      </c>
      <c r="C108" s="71">
        <f>VLOOKUP(A108,آبان!A:C,3,0)</f>
        <v>23</v>
      </c>
      <c r="D108" s="71">
        <v>1404</v>
      </c>
      <c r="E108" s="71">
        <v>9</v>
      </c>
      <c r="F108" s="72">
        <v>39800000</v>
      </c>
      <c r="G108" s="72">
        <v>0</v>
      </c>
      <c r="H108" s="72">
        <v>0</v>
      </c>
      <c r="I108" s="72">
        <v>2100000</v>
      </c>
    </row>
    <row r="109" spans="1:9" x14ac:dyDescent="0.25">
      <c r="A109" s="70">
        <v>5919</v>
      </c>
      <c r="B109" s="71" t="s">
        <v>127</v>
      </c>
      <c r="C109" s="71">
        <f>VLOOKUP(A109,آبان!A:C,3,0)</f>
        <v>152</v>
      </c>
      <c r="D109" s="71">
        <v>1404</v>
      </c>
      <c r="E109" s="71">
        <v>9</v>
      </c>
      <c r="F109" s="72">
        <v>39800000</v>
      </c>
      <c r="G109" s="72">
        <v>0</v>
      </c>
      <c r="H109" s="72">
        <v>0</v>
      </c>
      <c r="I109" s="72">
        <v>4500000</v>
      </c>
    </row>
    <row r="110" spans="1:9" x14ac:dyDescent="0.25">
      <c r="A110" s="70">
        <v>5924</v>
      </c>
      <c r="B110" s="71" t="s">
        <v>130</v>
      </c>
      <c r="C110" s="71">
        <f>VLOOKUP(A110,آبان!A:C,3,0)</f>
        <v>54</v>
      </c>
      <c r="D110" s="71">
        <v>1404</v>
      </c>
      <c r="E110" s="71">
        <v>9</v>
      </c>
      <c r="F110" s="72">
        <v>19900000</v>
      </c>
      <c r="G110" s="72">
        <v>80000000</v>
      </c>
      <c r="H110" s="72">
        <v>0</v>
      </c>
      <c r="I110" s="72">
        <v>7300000</v>
      </c>
    </row>
    <row r="111" spans="1:9" x14ac:dyDescent="0.25">
      <c r="A111" s="70">
        <v>5926</v>
      </c>
      <c r="B111" s="71" t="s">
        <v>131</v>
      </c>
      <c r="C111" s="71">
        <f>VLOOKUP(A111,آبان!A:C,3,0)</f>
        <v>112</v>
      </c>
      <c r="D111" s="71">
        <v>1404</v>
      </c>
      <c r="E111" s="71">
        <v>9</v>
      </c>
      <c r="F111" s="72">
        <v>39800000</v>
      </c>
      <c r="G111" s="72">
        <v>90000000</v>
      </c>
      <c r="H111" s="72">
        <v>0</v>
      </c>
      <c r="I111" s="72">
        <v>7900000</v>
      </c>
    </row>
    <row r="112" spans="1:9" x14ac:dyDescent="0.25">
      <c r="A112" s="70">
        <v>5927</v>
      </c>
      <c r="B112" s="71" t="s">
        <v>132</v>
      </c>
      <c r="C112" s="71">
        <f>VLOOKUP(A112,آبان!A:C,3,0)</f>
        <v>153</v>
      </c>
      <c r="D112" s="71">
        <v>1404</v>
      </c>
      <c r="E112" s="71">
        <v>9</v>
      </c>
      <c r="F112" s="72">
        <v>9950000</v>
      </c>
      <c r="G112" s="72">
        <v>30000000</v>
      </c>
      <c r="H112" s="72">
        <v>0</v>
      </c>
      <c r="I112" s="72">
        <v>10000000</v>
      </c>
    </row>
    <row r="113" spans="1:9" x14ac:dyDescent="0.25">
      <c r="A113" s="70">
        <v>5931</v>
      </c>
      <c r="B113" s="71" t="s">
        <v>133</v>
      </c>
      <c r="C113" s="71">
        <f>VLOOKUP(A113,آبان!A:C,3,0)</f>
        <v>113</v>
      </c>
      <c r="D113" s="71">
        <v>1404</v>
      </c>
      <c r="E113" s="71">
        <v>9</v>
      </c>
      <c r="F113" s="72">
        <v>39800000</v>
      </c>
      <c r="G113" s="72">
        <v>0</v>
      </c>
      <c r="H113" s="72">
        <v>0</v>
      </c>
      <c r="I113" s="72">
        <v>4500000</v>
      </c>
    </row>
    <row r="114" spans="1:9" x14ac:dyDescent="0.25">
      <c r="A114" s="70">
        <v>5937</v>
      </c>
      <c r="B114" s="71" t="s">
        <v>285</v>
      </c>
      <c r="C114" s="71">
        <f>VLOOKUP(A114,آبان!A:C,3,0)</f>
        <v>514</v>
      </c>
      <c r="D114" s="71">
        <v>1404</v>
      </c>
      <c r="E114" s="71">
        <v>9</v>
      </c>
      <c r="F114" s="72">
        <v>0</v>
      </c>
      <c r="G114" s="72">
        <v>30000000</v>
      </c>
      <c r="H114" s="72">
        <v>0</v>
      </c>
      <c r="I114" s="72">
        <v>4500000</v>
      </c>
    </row>
    <row r="115" spans="1:9" x14ac:dyDescent="0.25">
      <c r="A115" s="70">
        <v>5941</v>
      </c>
      <c r="B115" s="71" t="s">
        <v>137</v>
      </c>
      <c r="C115" s="71">
        <f>VLOOKUP(A115,آبان!A:C,3,0)</f>
        <v>184</v>
      </c>
      <c r="D115" s="71">
        <v>1404</v>
      </c>
      <c r="E115" s="71">
        <v>9</v>
      </c>
      <c r="F115" s="72">
        <v>9950000</v>
      </c>
      <c r="G115" s="72">
        <v>30000000</v>
      </c>
      <c r="H115" s="72">
        <v>0</v>
      </c>
      <c r="I115" s="72">
        <v>4500000</v>
      </c>
    </row>
    <row r="116" spans="1:9" x14ac:dyDescent="0.25">
      <c r="A116" s="70">
        <v>5944</v>
      </c>
      <c r="B116" s="71" t="s">
        <v>139</v>
      </c>
      <c r="C116" s="71">
        <f>VLOOKUP(A116,آبان!A:C,3,0)</f>
        <v>173</v>
      </c>
      <c r="D116" s="71">
        <v>1404</v>
      </c>
      <c r="E116" s="71">
        <v>9</v>
      </c>
      <c r="F116" s="72">
        <v>29850000</v>
      </c>
      <c r="G116" s="72">
        <v>0</v>
      </c>
      <c r="H116" s="72">
        <v>0</v>
      </c>
      <c r="I116" s="72">
        <v>6200000</v>
      </c>
    </row>
    <row r="117" spans="1:9" x14ac:dyDescent="0.25">
      <c r="A117" s="70">
        <v>5950</v>
      </c>
      <c r="B117" s="71" t="s">
        <v>141</v>
      </c>
      <c r="C117" s="71">
        <f>VLOOKUP(A117,آبان!A:C,3,0)</f>
        <v>308</v>
      </c>
      <c r="D117" s="71">
        <v>1404</v>
      </c>
      <c r="E117" s="71">
        <v>9</v>
      </c>
      <c r="F117" s="72">
        <v>39800000</v>
      </c>
      <c r="G117" s="72">
        <v>33333333</v>
      </c>
      <c r="H117" s="72">
        <v>0</v>
      </c>
      <c r="I117" s="72">
        <v>0</v>
      </c>
    </row>
    <row r="118" spans="1:9" x14ac:dyDescent="0.25">
      <c r="A118" s="70">
        <v>5957</v>
      </c>
      <c r="B118" s="71" t="s">
        <v>142</v>
      </c>
      <c r="C118" s="71">
        <f>VLOOKUP(A118,آبان!A:C,3,0)</f>
        <v>88</v>
      </c>
      <c r="D118" s="71">
        <v>1404</v>
      </c>
      <c r="E118" s="71">
        <v>9</v>
      </c>
      <c r="F118" s="72">
        <v>9950000</v>
      </c>
      <c r="G118" s="72">
        <v>30000000</v>
      </c>
      <c r="H118" s="72">
        <v>0</v>
      </c>
      <c r="I118" s="72">
        <v>3600000</v>
      </c>
    </row>
    <row r="119" spans="1:9" x14ac:dyDescent="0.25">
      <c r="A119" s="70">
        <v>5960</v>
      </c>
      <c r="B119" s="71" t="s">
        <v>144</v>
      </c>
      <c r="C119" s="71">
        <f>VLOOKUP(A119,آبان!A:C,3,0)</f>
        <v>115</v>
      </c>
      <c r="D119" s="71">
        <v>1404</v>
      </c>
      <c r="E119" s="71">
        <v>9</v>
      </c>
      <c r="F119" s="72">
        <v>39800000</v>
      </c>
      <c r="G119" s="72">
        <v>0</v>
      </c>
      <c r="H119" s="72">
        <v>0</v>
      </c>
      <c r="I119" s="72">
        <v>6200000</v>
      </c>
    </row>
    <row r="120" spans="1:9" x14ac:dyDescent="0.25">
      <c r="A120" s="70">
        <v>5961</v>
      </c>
      <c r="B120" s="71" t="s">
        <v>145</v>
      </c>
      <c r="C120" s="71">
        <f>VLOOKUP(A120,آبان!A:C,3,0)</f>
        <v>1</v>
      </c>
      <c r="D120" s="71">
        <v>1404</v>
      </c>
      <c r="E120" s="71">
        <v>9</v>
      </c>
      <c r="F120" s="72">
        <v>39800000</v>
      </c>
      <c r="G120" s="72">
        <v>30000000</v>
      </c>
      <c r="H120" s="72">
        <v>0</v>
      </c>
      <c r="I120" s="72">
        <v>3300000</v>
      </c>
    </row>
    <row r="121" spans="1:9" x14ac:dyDescent="0.25">
      <c r="A121" s="70">
        <v>5962</v>
      </c>
      <c r="B121" s="71" t="s">
        <v>146</v>
      </c>
      <c r="C121" s="71">
        <f>VLOOKUP(A121,آبان!A:C,3,0)</f>
        <v>33</v>
      </c>
      <c r="D121" s="71">
        <v>1404</v>
      </c>
      <c r="E121" s="71">
        <v>9</v>
      </c>
      <c r="F121" s="72">
        <v>19900000</v>
      </c>
      <c r="G121" s="72">
        <v>40000000</v>
      </c>
      <c r="H121" s="72">
        <v>0</v>
      </c>
      <c r="I121" s="72">
        <v>3300000</v>
      </c>
    </row>
    <row r="122" spans="1:9" x14ac:dyDescent="0.25">
      <c r="A122" s="70">
        <v>5966</v>
      </c>
      <c r="B122" s="71" t="s">
        <v>147</v>
      </c>
      <c r="C122" s="71">
        <f>VLOOKUP(A122,آبان!A:C,3,0)</f>
        <v>172</v>
      </c>
      <c r="D122" s="71">
        <v>1404</v>
      </c>
      <c r="E122" s="71">
        <v>9</v>
      </c>
      <c r="F122" s="72">
        <v>19900000</v>
      </c>
      <c r="G122" s="72">
        <v>0</v>
      </c>
      <c r="H122" s="72">
        <v>0</v>
      </c>
      <c r="I122" s="72">
        <v>4500000</v>
      </c>
    </row>
    <row r="123" spans="1:9" x14ac:dyDescent="0.25">
      <c r="A123" s="70">
        <v>5976</v>
      </c>
      <c r="B123" s="71" t="s">
        <v>150</v>
      </c>
      <c r="C123" s="71">
        <f>VLOOKUP(A123,آبان!A:C,3,0)</f>
        <v>326</v>
      </c>
      <c r="D123" s="71">
        <v>1404</v>
      </c>
      <c r="E123" s="71">
        <v>9</v>
      </c>
      <c r="F123" s="72">
        <v>39800000</v>
      </c>
      <c r="G123" s="72">
        <v>0</v>
      </c>
      <c r="H123" s="72">
        <v>0</v>
      </c>
      <c r="I123" s="72">
        <v>2700000</v>
      </c>
    </row>
    <row r="124" spans="1:9" x14ac:dyDescent="0.25">
      <c r="A124" s="70">
        <v>5981</v>
      </c>
      <c r="B124" s="71" t="s">
        <v>222</v>
      </c>
      <c r="C124" s="71">
        <f>VLOOKUP(A124,آبان!A:C,3,0)</f>
        <v>335</v>
      </c>
      <c r="D124" s="71">
        <v>1404</v>
      </c>
      <c r="E124" s="71">
        <v>9</v>
      </c>
      <c r="F124" s="72">
        <v>0</v>
      </c>
      <c r="G124" s="72">
        <v>0</v>
      </c>
      <c r="H124" s="72">
        <v>0</v>
      </c>
      <c r="I124" s="72">
        <v>4500000</v>
      </c>
    </row>
    <row r="125" spans="1:9" x14ac:dyDescent="0.25">
      <c r="A125" s="70">
        <v>5982</v>
      </c>
      <c r="B125" s="71" t="s">
        <v>151</v>
      </c>
      <c r="C125" s="71">
        <f>VLOOKUP(A125,آبان!A:C,3,0)</f>
        <v>332</v>
      </c>
      <c r="D125" s="71">
        <v>1404</v>
      </c>
      <c r="E125" s="71">
        <v>9</v>
      </c>
      <c r="F125" s="72">
        <v>0</v>
      </c>
      <c r="G125" s="72">
        <v>30000000</v>
      </c>
      <c r="H125" s="72">
        <v>0</v>
      </c>
      <c r="I125" s="72">
        <v>4500000</v>
      </c>
    </row>
    <row r="126" spans="1:9" x14ac:dyDescent="0.25">
      <c r="A126" s="70">
        <v>5988</v>
      </c>
      <c r="B126" s="71" t="s">
        <v>152</v>
      </c>
      <c r="C126" s="71">
        <f>VLOOKUP(A126,آبان!A:C,3,0)</f>
        <v>323</v>
      </c>
      <c r="D126" s="71">
        <v>1404</v>
      </c>
      <c r="E126" s="71">
        <v>9</v>
      </c>
      <c r="F126" s="72">
        <v>49750000</v>
      </c>
      <c r="G126" s="72">
        <v>130000000</v>
      </c>
      <c r="H126" s="72">
        <v>0</v>
      </c>
      <c r="I126" s="72">
        <v>4500000</v>
      </c>
    </row>
    <row r="127" spans="1:9" x14ac:dyDescent="0.25">
      <c r="A127" s="70">
        <v>5995</v>
      </c>
      <c r="B127" s="71" t="s">
        <v>155</v>
      </c>
      <c r="C127" s="71">
        <f>VLOOKUP(A127,آبان!A:C,3,0)</f>
        <v>328</v>
      </c>
      <c r="D127" s="71">
        <v>1404</v>
      </c>
      <c r="E127" s="71">
        <v>9</v>
      </c>
      <c r="F127" s="72">
        <v>9950000</v>
      </c>
      <c r="G127" s="72">
        <v>0</v>
      </c>
      <c r="H127" s="72">
        <v>0</v>
      </c>
      <c r="I127" s="72">
        <v>6200000</v>
      </c>
    </row>
    <row r="128" spans="1:9" x14ac:dyDescent="0.25">
      <c r="A128" s="70">
        <v>5997</v>
      </c>
      <c r="B128" s="71" t="s">
        <v>156</v>
      </c>
      <c r="C128" s="71">
        <v>322</v>
      </c>
      <c r="D128" s="71">
        <v>1404</v>
      </c>
      <c r="E128" s="71">
        <v>9</v>
      </c>
      <c r="F128" s="72">
        <v>0</v>
      </c>
      <c r="G128" s="72">
        <v>0</v>
      </c>
      <c r="H128" s="72">
        <v>0</v>
      </c>
      <c r="I128" s="72">
        <v>4500000</v>
      </c>
    </row>
    <row r="129" spans="1:9" x14ac:dyDescent="0.25">
      <c r="A129" s="70">
        <v>6004</v>
      </c>
      <c r="B129" s="71" t="s">
        <v>158</v>
      </c>
      <c r="C129" s="71">
        <f>VLOOKUP(A129,آبان!A:C,3,0)</f>
        <v>352</v>
      </c>
      <c r="D129" s="71">
        <v>1404</v>
      </c>
      <c r="E129" s="71">
        <v>9</v>
      </c>
      <c r="F129" s="72">
        <v>39800000</v>
      </c>
      <c r="G129" s="72">
        <v>0</v>
      </c>
      <c r="H129" s="72">
        <v>0</v>
      </c>
      <c r="I129" s="72">
        <v>0</v>
      </c>
    </row>
    <row r="130" spans="1:9" x14ac:dyDescent="0.25">
      <c r="A130" s="70">
        <v>6006</v>
      </c>
      <c r="B130" s="71" t="s">
        <v>159</v>
      </c>
      <c r="C130" s="71">
        <f>VLOOKUP(A130,آبان!A:C,3,0)</f>
        <v>341</v>
      </c>
      <c r="D130" s="71">
        <v>1404</v>
      </c>
      <c r="E130" s="71">
        <v>9</v>
      </c>
      <c r="F130" s="72">
        <v>9950000</v>
      </c>
      <c r="G130" s="72">
        <v>0</v>
      </c>
      <c r="H130" s="72">
        <v>0</v>
      </c>
      <c r="I130" s="72">
        <v>7900000</v>
      </c>
    </row>
    <row r="131" spans="1:9" x14ac:dyDescent="0.25">
      <c r="A131" s="70">
        <v>6011</v>
      </c>
      <c r="B131" s="71" t="s">
        <v>160</v>
      </c>
      <c r="C131" s="71">
        <f>VLOOKUP(A131,آبان!A:C,3,0)</f>
        <v>345</v>
      </c>
      <c r="D131" s="71">
        <v>1404</v>
      </c>
      <c r="E131" s="71">
        <v>9</v>
      </c>
      <c r="F131" s="72">
        <v>0</v>
      </c>
      <c r="G131" s="72">
        <v>40000000</v>
      </c>
      <c r="H131" s="72">
        <v>0</v>
      </c>
      <c r="I131" s="72">
        <v>0</v>
      </c>
    </row>
    <row r="132" spans="1:9" x14ac:dyDescent="0.25">
      <c r="A132" s="70">
        <v>6015</v>
      </c>
      <c r="B132" s="71" t="s">
        <v>162</v>
      </c>
      <c r="C132" s="71">
        <f>VLOOKUP(A132,آبان!A:C,3,0)</f>
        <v>359</v>
      </c>
      <c r="D132" s="71">
        <v>1404</v>
      </c>
      <c r="E132" s="71">
        <v>9</v>
      </c>
      <c r="F132" s="72">
        <v>0</v>
      </c>
      <c r="G132" s="72">
        <v>70000000</v>
      </c>
      <c r="H132" s="72">
        <v>0</v>
      </c>
      <c r="I132" s="72">
        <v>0</v>
      </c>
    </row>
    <row r="133" spans="1:9" x14ac:dyDescent="0.25">
      <c r="A133" s="70">
        <v>6016</v>
      </c>
      <c r="B133" s="71" t="s">
        <v>163</v>
      </c>
      <c r="C133" s="71">
        <f>VLOOKUP(A133,آبان!A:C,3,0)</f>
        <v>375</v>
      </c>
      <c r="D133" s="71">
        <v>1404</v>
      </c>
      <c r="E133" s="71">
        <v>9</v>
      </c>
      <c r="F133" s="72">
        <v>9950000</v>
      </c>
      <c r="G133" s="72">
        <v>30000000</v>
      </c>
      <c r="H133" s="72">
        <v>0</v>
      </c>
      <c r="I133" s="72">
        <v>3300000</v>
      </c>
    </row>
    <row r="134" spans="1:9" x14ac:dyDescent="0.25">
      <c r="A134" s="70">
        <v>6019</v>
      </c>
      <c r="B134" s="71" t="s">
        <v>166</v>
      </c>
      <c r="C134" s="71">
        <v>374</v>
      </c>
      <c r="D134" s="71">
        <v>1404</v>
      </c>
      <c r="E134" s="71">
        <v>9</v>
      </c>
      <c r="F134" s="72">
        <v>0</v>
      </c>
      <c r="G134" s="72">
        <v>0</v>
      </c>
      <c r="H134" s="72">
        <v>0</v>
      </c>
      <c r="I134" s="72">
        <v>3000000</v>
      </c>
    </row>
    <row r="135" spans="1:9" x14ac:dyDescent="0.25">
      <c r="A135" s="70">
        <v>6025</v>
      </c>
      <c r="B135" s="71" t="s">
        <v>169</v>
      </c>
      <c r="C135" s="71">
        <v>369</v>
      </c>
      <c r="D135" s="71">
        <v>1404</v>
      </c>
      <c r="E135" s="71">
        <v>9</v>
      </c>
      <c r="F135" s="72">
        <v>0</v>
      </c>
      <c r="G135" s="72">
        <v>0</v>
      </c>
      <c r="H135" s="72">
        <v>0</v>
      </c>
      <c r="I135" s="72">
        <v>4500000</v>
      </c>
    </row>
    <row r="136" spans="1:9" x14ac:dyDescent="0.25">
      <c r="A136" s="70">
        <v>6026</v>
      </c>
      <c r="B136" s="71" t="s">
        <v>170</v>
      </c>
      <c r="C136" s="71">
        <f>VLOOKUP(A136,آبان!A:C,3,0)</f>
        <v>370</v>
      </c>
      <c r="D136" s="71">
        <v>1404</v>
      </c>
      <c r="E136" s="71">
        <v>9</v>
      </c>
      <c r="F136" s="72">
        <v>0</v>
      </c>
      <c r="G136" s="72">
        <v>40000000</v>
      </c>
      <c r="H136" s="72">
        <v>0</v>
      </c>
      <c r="I136" s="72">
        <v>7600000</v>
      </c>
    </row>
    <row r="137" spans="1:9" x14ac:dyDescent="0.25">
      <c r="A137" s="70">
        <v>6028</v>
      </c>
      <c r="B137" s="71" t="s">
        <v>171</v>
      </c>
      <c r="C137" s="71">
        <f>VLOOKUP(A137,آبان!A:C,3,0)</f>
        <v>398</v>
      </c>
      <c r="D137" s="71">
        <v>1404</v>
      </c>
      <c r="E137" s="71">
        <v>9</v>
      </c>
      <c r="F137" s="72">
        <v>19900000</v>
      </c>
      <c r="G137" s="72">
        <v>30000000</v>
      </c>
      <c r="H137" s="72">
        <v>0</v>
      </c>
      <c r="I137" s="72">
        <v>0</v>
      </c>
    </row>
    <row r="138" spans="1:9" x14ac:dyDescent="0.25">
      <c r="A138" s="70">
        <v>6035</v>
      </c>
      <c r="B138" s="71" t="s">
        <v>173</v>
      </c>
      <c r="C138" s="71">
        <f>VLOOKUP(A138,آبان!A:C,3,0)</f>
        <v>385</v>
      </c>
      <c r="D138" s="71">
        <v>1404</v>
      </c>
      <c r="E138" s="71">
        <v>9</v>
      </c>
      <c r="F138" s="72">
        <v>0</v>
      </c>
      <c r="G138" s="72">
        <v>0</v>
      </c>
      <c r="H138" s="72">
        <v>0</v>
      </c>
      <c r="I138" s="72">
        <v>5900000</v>
      </c>
    </row>
    <row r="139" spans="1:9" x14ac:dyDescent="0.25">
      <c r="A139" s="70">
        <v>6037</v>
      </c>
      <c r="B139" s="71" t="s">
        <v>174</v>
      </c>
      <c r="C139" s="71">
        <f>VLOOKUP(A139,آبان!A:C,3,0)</f>
        <v>387</v>
      </c>
      <c r="D139" s="71">
        <v>1404</v>
      </c>
      <c r="E139" s="71">
        <v>9</v>
      </c>
      <c r="F139" s="72">
        <v>39800000</v>
      </c>
      <c r="G139" s="72">
        <v>63333333</v>
      </c>
      <c r="H139" s="72">
        <v>0</v>
      </c>
      <c r="I139" s="72">
        <v>6200000</v>
      </c>
    </row>
    <row r="140" spans="1:9" x14ac:dyDescent="0.25">
      <c r="A140" s="70">
        <v>6041</v>
      </c>
      <c r="B140" s="71" t="s">
        <v>175</v>
      </c>
      <c r="C140" s="71">
        <f>VLOOKUP(A140,آبان!A:C,3,0)</f>
        <v>338</v>
      </c>
      <c r="D140" s="71">
        <v>1404</v>
      </c>
      <c r="E140" s="71">
        <v>9</v>
      </c>
      <c r="F140" s="72">
        <v>39800000</v>
      </c>
      <c r="G140" s="72">
        <v>0</v>
      </c>
      <c r="H140" s="72">
        <v>0</v>
      </c>
      <c r="I140" s="72">
        <v>7000000</v>
      </c>
    </row>
    <row r="141" spans="1:9" x14ac:dyDescent="0.25">
      <c r="A141" s="70">
        <v>6042</v>
      </c>
      <c r="B141" s="71" t="s">
        <v>176</v>
      </c>
      <c r="C141" s="71">
        <f>VLOOKUP(A141,آبان!A:C,3,0)</f>
        <v>378</v>
      </c>
      <c r="D141" s="71">
        <v>1404</v>
      </c>
      <c r="E141" s="71">
        <v>9</v>
      </c>
      <c r="F141" s="72">
        <v>9950000</v>
      </c>
      <c r="G141" s="72">
        <v>0</v>
      </c>
      <c r="H141" s="72">
        <v>0</v>
      </c>
      <c r="I141" s="72">
        <v>4200000</v>
      </c>
    </row>
    <row r="142" spans="1:9" x14ac:dyDescent="0.25">
      <c r="A142" s="70">
        <v>6045</v>
      </c>
      <c r="B142" s="71" t="s">
        <v>178</v>
      </c>
      <c r="C142" s="71">
        <f>VLOOKUP(A142,آبان!A:C,3,0)</f>
        <v>388</v>
      </c>
      <c r="D142" s="71">
        <v>1404</v>
      </c>
      <c r="E142" s="71">
        <v>9</v>
      </c>
      <c r="F142" s="72">
        <v>19900000</v>
      </c>
      <c r="G142" s="72">
        <v>0</v>
      </c>
      <c r="H142" s="72">
        <v>0</v>
      </c>
      <c r="I142" s="72">
        <v>11300000</v>
      </c>
    </row>
    <row r="143" spans="1:9" x14ac:dyDescent="0.25">
      <c r="A143" s="70">
        <v>6055</v>
      </c>
      <c r="B143" s="71" t="s">
        <v>180</v>
      </c>
      <c r="C143" s="71">
        <f>VLOOKUP(A143,آبان!A:C,3,0)</f>
        <v>400</v>
      </c>
      <c r="D143" s="71">
        <v>1404</v>
      </c>
      <c r="E143" s="71">
        <v>9</v>
      </c>
      <c r="F143" s="72">
        <v>9950000</v>
      </c>
      <c r="G143" s="72">
        <v>30000000</v>
      </c>
      <c r="H143" s="72">
        <v>0</v>
      </c>
      <c r="I143" s="72">
        <v>4500000</v>
      </c>
    </row>
    <row r="144" spans="1:9" x14ac:dyDescent="0.25">
      <c r="A144" s="70">
        <v>6057</v>
      </c>
      <c r="B144" s="71" t="s">
        <v>181</v>
      </c>
      <c r="C144" s="71">
        <f>VLOOKUP(A144,آبان!A:C,3,0)</f>
        <v>395</v>
      </c>
      <c r="D144" s="71">
        <v>1404</v>
      </c>
      <c r="E144" s="71">
        <v>9</v>
      </c>
      <c r="F144" s="72">
        <v>0</v>
      </c>
      <c r="G144" s="72">
        <v>0</v>
      </c>
      <c r="H144" s="72">
        <v>0</v>
      </c>
      <c r="I144" s="72">
        <v>13600000</v>
      </c>
    </row>
    <row r="145" spans="1:9" x14ac:dyDescent="0.25">
      <c r="A145" s="70">
        <v>6061</v>
      </c>
      <c r="B145" s="71" t="s">
        <v>183</v>
      </c>
      <c r="C145" s="71">
        <f>VLOOKUP(A145,آبان!A:C,3,0)</f>
        <v>407</v>
      </c>
      <c r="D145" s="71">
        <v>1404</v>
      </c>
      <c r="E145" s="71">
        <v>9</v>
      </c>
      <c r="F145" s="72">
        <v>9950000</v>
      </c>
      <c r="G145" s="72">
        <v>40000000</v>
      </c>
      <c r="H145" s="72">
        <v>0</v>
      </c>
      <c r="I145" s="72">
        <v>1800000</v>
      </c>
    </row>
    <row r="146" spans="1:9" x14ac:dyDescent="0.25">
      <c r="A146" s="70">
        <v>6064</v>
      </c>
      <c r="B146" s="71" t="s">
        <v>269</v>
      </c>
      <c r="C146" s="71">
        <f>VLOOKUP(A146,آبان!A:C,3,0)</f>
        <v>412</v>
      </c>
      <c r="D146" s="71">
        <v>1404</v>
      </c>
      <c r="E146" s="71">
        <v>9</v>
      </c>
      <c r="F146" s="72">
        <v>19900000</v>
      </c>
      <c r="G146" s="72">
        <v>0</v>
      </c>
      <c r="H146" s="72">
        <v>0</v>
      </c>
      <c r="I146" s="72">
        <v>900000</v>
      </c>
    </row>
    <row r="147" spans="1:9" x14ac:dyDescent="0.25">
      <c r="A147" s="70">
        <v>6069</v>
      </c>
      <c r="B147" s="71" t="s">
        <v>185</v>
      </c>
      <c r="C147" s="71">
        <f>VLOOKUP(A147,آبان!A:C,3,0)</f>
        <v>418</v>
      </c>
      <c r="D147" s="71">
        <v>1404</v>
      </c>
      <c r="E147" s="71">
        <v>9</v>
      </c>
      <c r="F147" s="72">
        <v>19900000</v>
      </c>
      <c r="G147" s="72">
        <v>0</v>
      </c>
      <c r="H147" s="72">
        <v>0</v>
      </c>
      <c r="I147" s="72">
        <v>3000000</v>
      </c>
    </row>
    <row r="148" spans="1:9" x14ac:dyDescent="0.25">
      <c r="A148" s="70">
        <v>6072</v>
      </c>
      <c r="B148" s="71" t="s">
        <v>186</v>
      </c>
      <c r="C148" s="71">
        <f>VLOOKUP(A148,آبان!A:C,3,0)</f>
        <v>426</v>
      </c>
      <c r="D148" s="71">
        <v>1404</v>
      </c>
      <c r="E148" s="71">
        <v>9</v>
      </c>
      <c r="F148" s="72">
        <v>0</v>
      </c>
      <c r="G148" s="72">
        <v>30000000</v>
      </c>
      <c r="H148" s="72">
        <v>0</v>
      </c>
      <c r="I148" s="72">
        <v>7900000</v>
      </c>
    </row>
    <row r="149" spans="1:9" x14ac:dyDescent="0.25">
      <c r="A149" s="70">
        <v>6079</v>
      </c>
      <c r="B149" s="71" t="s">
        <v>189</v>
      </c>
      <c r="C149" s="71">
        <f>VLOOKUP(A149,آبان!A:C,3,0)</f>
        <v>433</v>
      </c>
      <c r="D149" s="71">
        <v>1404</v>
      </c>
      <c r="E149" s="71">
        <v>9</v>
      </c>
      <c r="F149" s="72">
        <v>29850000</v>
      </c>
      <c r="G149" s="72">
        <v>0</v>
      </c>
      <c r="H149" s="72">
        <v>0</v>
      </c>
      <c r="I149" s="72">
        <v>10000000</v>
      </c>
    </row>
    <row r="150" spans="1:9" x14ac:dyDescent="0.25">
      <c r="A150" s="70">
        <v>6084</v>
      </c>
      <c r="B150" s="71" t="s">
        <v>190</v>
      </c>
      <c r="C150" s="71">
        <f>VLOOKUP(A150,آبان!A:C,3,0)</f>
        <v>416</v>
      </c>
      <c r="D150" s="71">
        <v>1404</v>
      </c>
      <c r="E150" s="71">
        <v>9</v>
      </c>
      <c r="F150" s="72">
        <v>19900000</v>
      </c>
      <c r="G150" s="72">
        <v>0</v>
      </c>
      <c r="H150" s="72">
        <v>0</v>
      </c>
      <c r="I150" s="72">
        <v>1800000</v>
      </c>
    </row>
    <row r="151" spans="1:9" x14ac:dyDescent="0.25">
      <c r="A151" s="70">
        <v>6087</v>
      </c>
      <c r="B151" s="71" t="s">
        <v>191</v>
      </c>
      <c r="C151" s="71">
        <f>VLOOKUP(A151,آبان!A:C,3,0)</f>
        <v>443</v>
      </c>
      <c r="D151" s="71">
        <v>1404</v>
      </c>
      <c r="E151" s="71">
        <v>9</v>
      </c>
      <c r="F151" s="72">
        <v>19900000</v>
      </c>
      <c r="G151" s="72">
        <v>80000000</v>
      </c>
      <c r="H151" s="72">
        <v>0</v>
      </c>
      <c r="I151" s="72">
        <v>12254000</v>
      </c>
    </row>
    <row r="152" spans="1:9" x14ac:dyDescent="0.25">
      <c r="A152" s="70">
        <v>6092</v>
      </c>
      <c r="B152" s="71" t="s">
        <v>194</v>
      </c>
      <c r="C152" s="71">
        <f>VLOOKUP(A152,آبان!A:C,3,0)</f>
        <v>445</v>
      </c>
      <c r="D152" s="71">
        <v>1404</v>
      </c>
      <c r="E152" s="71">
        <v>9</v>
      </c>
      <c r="F152" s="72">
        <v>9950000</v>
      </c>
      <c r="G152" s="72">
        <v>0</v>
      </c>
      <c r="H152" s="72">
        <v>0</v>
      </c>
      <c r="I152" s="72">
        <v>6200000</v>
      </c>
    </row>
    <row r="153" spans="1:9" x14ac:dyDescent="0.25">
      <c r="A153" s="70">
        <v>6099</v>
      </c>
      <c r="B153" s="71" t="s">
        <v>199</v>
      </c>
      <c r="C153" s="71">
        <f>VLOOKUP(A153,آبان!A:C,3,0)</f>
        <v>468</v>
      </c>
      <c r="D153" s="71">
        <v>1404</v>
      </c>
      <c r="E153" s="71">
        <v>9</v>
      </c>
      <c r="F153" s="72">
        <v>79600000</v>
      </c>
      <c r="G153" s="72">
        <v>100000000</v>
      </c>
      <c r="H153" s="72">
        <v>0</v>
      </c>
      <c r="I153" s="72">
        <v>8700000</v>
      </c>
    </row>
    <row r="154" spans="1:9" x14ac:dyDescent="0.25">
      <c r="A154" s="70">
        <v>6102</v>
      </c>
      <c r="B154" s="71" t="s">
        <v>200</v>
      </c>
      <c r="C154" s="71">
        <f>VLOOKUP(A154,آبان!A:C,3,0)</f>
        <v>459</v>
      </c>
      <c r="D154" s="71">
        <v>1404</v>
      </c>
      <c r="E154" s="71">
        <v>9</v>
      </c>
      <c r="F154" s="72">
        <v>19900000</v>
      </c>
      <c r="G154" s="72">
        <v>30000000</v>
      </c>
      <c r="H154" s="72">
        <v>0</v>
      </c>
      <c r="I154" s="72">
        <v>4500000</v>
      </c>
    </row>
    <row r="155" spans="1:9" x14ac:dyDescent="0.25">
      <c r="A155" s="70">
        <v>6103</v>
      </c>
      <c r="B155" s="71" t="s">
        <v>201</v>
      </c>
      <c r="C155" s="71">
        <f>VLOOKUP(A155,آبان!A:C,3,0)</f>
        <v>469</v>
      </c>
      <c r="D155" s="71">
        <v>1404</v>
      </c>
      <c r="E155" s="71">
        <v>9</v>
      </c>
      <c r="F155" s="72">
        <v>29850000</v>
      </c>
      <c r="G155" s="72">
        <v>0</v>
      </c>
      <c r="H155" s="72">
        <v>0</v>
      </c>
      <c r="I155" s="72">
        <v>2900000</v>
      </c>
    </row>
    <row r="156" spans="1:9" x14ac:dyDescent="0.25">
      <c r="A156" s="70">
        <v>6104</v>
      </c>
      <c r="B156" s="71" t="s">
        <v>202</v>
      </c>
      <c r="C156" s="71">
        <f>VLOOKUP(A156,آبان!A:C,3,0)</f>
        <v>465</v>
      </c>
      <c r="D156" s="71">
        <v>1404</v>
      </c>
      <c r="E156" s="71">
        <v>9</v>
      </c>
      <c r="F156" s="72">
        <v>9950000</v>
      </c>
      <c r="G156" s="72">
        <v>0</v>
      </c>
      <c r="H156" s="72">
        <v>0</v>
      </c>
      <c r="I156" s="72">
        <v>300000</v>
      </c>
    </row>
    <row r="157" spans="1:9" x14ac:dyDescent="0.25">
      <c r="A157" s="70">
        <v>6105</v>
      </c>
      <c r="B157" s="71" t="s">
        <v>245</v>
      </c>
      <c r="C157" s="71">
        <f>VLOOKUP(A157,آبان!A:C,3,0)</f>
        <v>461</v>
      </c>
      <c r="D157" s="71">
        <v>1404</v>
      </c>
      <c r="E157" s="71">
        <v>9</v>
      </c>
      <c r="F157" s="72">
        <v>9950000</v>
      </c>
      <c r="G157" s="72">
        <v>0</v>
      </c>
      <c r="H157" s="72">
        <v>0</v>
      </c>
      <c r="I157" s="72">
        <v>600000</v>
      </c>
    </row>
    <row r="158" spans="1:9" x14ac:dyDescent="0.25">
      <c r="A158" s="70">
        <v>6107</v>
      </c>
      <c r="B158" s="71" t="s">
        <v>267</v>
      </c>
      <c r="C158" s="71">
        <f>VLOOKUP(A158,آبان!A:C,3,0)</f>
        <v>470</v>
      </c>
      <c r="D158" s="71">
        <v>1404</v>
      </c>
      <c r="E158" s="71">
        <v>9</v>
      </c>
      <c r="F158" s="72">
        <v>9950000</v>
      </c>
      <c r="G158" s="72">
        <v>0</v>
      </c>
      <c r="H158" s="72">
        <v>0</v>
      </c>
      <c r="I158" s="72">
        <v>0</v>
      </c>
    </row>
    <row r="159" spans="1:9" x14ac:dyDescent="0.25">
      <c r="A159" s="70">
        <v>6110</v>
      </c>
      <c r="B159" s="71" t="s">
        <v>203</v>
      </c>
      <c r="C159" s="71">
        <f>VLOOKUP(A159,آبان!A:C,3,0)</f>
        <v>476</v>
      </c>
      <c r="D159" s="71">
        <v>1404</v>
      </c>
      <c r="E159" s="71">
        <v>9</v>
      </c>
      <c r="F159" s="72">
        <v>9950000</v>
      </c>
      <c r="G159" s="72">
        <v>0</v>
      </c>
      <c r="H159" s="72">
        <v>0</v>
      </c>
      <c r="I159" s="72">
        <v>2100000</v>
      </c>
    </row>
    <row r="160" spans="1:9" x14ac:dyDescent="0.25">
      <c r="A160" s="70">
        <v>6112</v>
      </c>
      <c r="B160" s="71" t="s">
        <v>239</v>
      </c>
      <c r="C160" s="71">
        <f>VLOOKUP(A160,آبان!A:C,3,0)</f>
        <v>456</v>
      </c>
      <c r="D160" s="71">
        <v>1404</v>
      </c>
      <c r="E160" s="71">
        <v>9</v>
      </c>
      <c r="F160" s="72">
        <v>9950000</v>
      </c>
      <c r="G160" s="72">
        <v>30000000</v>
      </c>
      <c r="H160" s="72">
        <v>0</v>
      </c>
      <c r="I160" s="72">
        <v>1500000</v>
      </c>
    </row>
    <row r="161" spans="1:9" x14ac:dyDescent="0.25">
      <c r="A161" s="70">
        <v>6113</v>
      </c>
      <c r="B161" s="71" t="s">
        <v>240</v>
      </c>
      <c r="C161" s="71">
        <f>VLOOKUP(A161,آبان!A:C,3,0)</f>
        <v>488</v>
      </c>
      <c r="D161" s="71">
        <v>1404</v>
      </c>
      <c r="E161" s="71">
        <v>9</v>
      </c>
      <c r="F161" s="72">
        <v>19900000</v>
      </c>
      <c r="G161" s="72">
        <v>0</v>
      </c>
      <c r="H161" s="72">
        <v>0</v>
      </c>
      <c r="I161" s="72">
        <v>4500000</v>
      </c>
    </row>
    <row r="162" spans="1:9" x14ac:dyDescent="0.25">
      <c r="A162" s="70">
        <v>6116</v>
      </c>
      <c r="B162" s="71" t="s">
        <v>242</v>
      </c>
      <c r="C162" s="71">
        <f>VLOOKUP(A162,آبان!A:C,3,0)</f>
        <v>485</v>
      </c>
      <c r="D162" s="71">
        <v>1404</v>
      </c>
      <c r="E162" s="71">
        <v>9</v>
      </c>
      <c r="F162" s="72">
        <v>29850000</v>
      </c>
      <c r="G162" s="72">
        <v>30000000</v>
      </c>
      <c r="H162" s="72">
        <v>0</v>
      </c>
      <c r="I162" s="72">
        <v>3000000</v>
      </c>
    </row>
    <row r="163" spans="1:9" x14ac:dyDescent="0.25">
      <c r="A163" s="70">
        <v>6117</v>
      </c>
      <c r="B163" s="71" t="s">
        <v>270</v>
      </c>
      <c r="C163" s="71">
        <f>VLOOKUP(A163,آبان!A:C,3,0)</f>
        <v>480</v>
      </c>
      <c r="D163" s="71">
        <v>1404</v>
      </c>
      <c r="E163" s="71">
        <v>9</v>
      </c>
      <c r="F163" s="72">
        <v>29850000</v>
      </c>
      <c r="G163" s="72">
        <v>30000000</v>
      </c>
      <c r="H163" s="72">
        <v>0</v>
      </c>
      <c r="I163" s="72">
        <v>4100000</v>
      </c>
    </row>
    <row r="164" spans="1:9" x14ac:dyDescent="0.25">
      <c r="A164" s="70">
        <v>6120</v>
      </c>
      <c r="B164" s="71" t="s">
        <v>287</v>
      </c>
      <c r="C164" s="71">
        <f>VLOOKUP(A164,آبان!A:C,3,0)</f>
        <v>486</v>
      </c>
      <c r="D164" s="71">
        <v>1404</v>
      </c>
      <c r="E164" s="71">
        <v>9</v>
      </c>
      <c r="F164" s="72">
        <v>0</v>
      </c>
      <c r="G164" s="72">
        <v>30000000</v>
      </c>
      <c r="H164" s="72">
        <v>0</v>
      </c>
      <c r="I164" s="72">
        <v>4500000</v>
      </c>
    </row>
    <row r="165" spans="1:9" x14ac:dyDescent="0.25">
      <c r="A165" s="70">
        <v>6122</v>
      </c>
      <c r="B165" s="71" t="s">
        <v>271</v>
      </c>
      <c r="C165" s="71">
        <f>VLOOKUP(A165,آبان!A:C,3,0)</f>
        <v>487</v>
      </c>
      <c r="D165" s="71">
        <v>1404</v>
      </c>
      <c r="E165" s="71">
        <v>9</v>
      </c>
      <c r="F165" s="72">
        <v>19900000</v>
      </c>
      <c r="G165" s="72">
        <v>0</v>
      </c>
      <c r="H165" s="72">
        <v>0</v>
      </c>
      <c r="I165" s="72">
        <v>4200000</v>
      </c>
    </row>
    <row r="166" spans="1:9" x14ac:dyDescent="0.25">
      <c r="A166" s="70">
        <v>6123</v>
      </c>
      <c r="B166" s="71" t="s">
        <v>264</v>
      </c>
      <c r="C166" s="71">
        <f>VLOOKUP(A166,آبان!A:C,3,0)</f>
        <v>484</v>
      </c>
      <c r="D166" s="71">
        <v>1404</v>
      </c>
      <c r="E166" s="71">
        <v>9</v>
      </c>
      <c r="F166" s="72">
        <v>19900000</v>
      </c>
      <c r="G166" s="72">
        <v>0</v>
      </c>
      <c r="H166" s="72">
        <v>0</v>
      </c>
      <c r="I166" s="72">
        <v>6700000</v>
      </c>
    </row>
    <row r="167" spans="1:9" x14ac:dyDescent="0.25">
      <c r="A167" s="70">
        <v>6136</v>
      </c>
      <c r="B167" s="71" t="s">
        <v>266</v>
      </c>
      <c r="C167" s="71">
        <f>VLOOKUP(A167,آبان!A:C,3,0)</f>
        <v>506</v>
      </c>
      <c r="D167" s="71">
        <v>1404</v>
      </c>
      <c r="E167" s="71">
        <v>9</v>
      </c>
      <c r="F167" s="72">
        <v>29850000</v>
      </c>
      <c r="G167" s="72">
        <v>30000000</v>
      </c>
      <c r="H167" s="72">
        <v>0</v>
      </c>
      <c r="I167" s="72">
        <v>4500000</v>
      </c>
    </row>
    <row r="168" spans="1:9" x14ac:dyDescent="0.25">
      <c r="A168" s="70">
        <v>6137</v>
      </c>
      <c r="B168" s="71" t="s">
        <v>291</v>
      </c>
      <c r="C168" s="71">
        <f>VLOOKUP(A168,آبان!A:C,3,0)</f>
        <v>503</v>
      </c>
      <c r="D168" s="71">
        <v>1404</v>
      </c>
      <c r="E168" s="71">
        <v>9</v>
      </c>
      <c r="F168" s="72">
        <v>9950000</v>
      </c>
      <c r="G168" s="72">
        <v>30000000</v>
      </c>
      <c r="H168" s="72">
        <v>0</v>
      </c>
      <c r="I168" s="72">
        <v>2400000</v>
      </c>
    </row>
    <row r="169" spans="1:9" x14ac:dyDescent="0.25">
      <c r="A169" s="70">
        <v>6139</v>
      </c>
      <c r="B169" s="71" t="s">
        <v>273</v>
      </c>
      <c r="C169" s="71">
        <f>VLOOKUP(A169,آبان!A:C,3,0)</f>
        <v>505</v>
      </c>
      <c r="D169" s="71">
        <v>1404</v>
      </c>
      <c r="E169" s="71">
        <v>9</v>
      </c>
      <c r="F169" s="72">
        <v>19900000</v>
      </c>
      <c r="G169" s="72">
        <v>0</v>
      </c>
      <c r="H169" s="72">
        <v>0</v>
      </c>
      <c r="I169" s="72">
        <v>12500000</v>
      </c>
    </row>
    <row r="170" spans="1:9" x14ac:dyDescent="0.25">
      <c r="A170" s="70">
        <v>6143</v>
      </c>
      <c r="B170" s="71" t="s">
        <v>274</v>
      </c>
      <c r="C170" s="71">
        <f>VLOOKUP(A170,آبان!A:C,3,0)</f>
        <v>508</v>
      </c>
      <c r="D170" s="71">
        <v>1404</v>
      </c>
      <c r="E170" s="71">
        <v>9</v>
      </c>
      <c r="F170" s="72">
        <v>19900000</v>
      </c>
      <c r="G170" s="72">
        <v>30000000</v>
      </c>
      <c r="H170" s="72">
        <v>0</v>
      </c>
      <c r="I170" s="72">
        <v>9200000</v>
      </c>
    </row>
    <row r="171" spans="1:9" x14ac:dyDescent="0.25">
      <c r="A171" s="70">
        <v>6144</v>
      </c>
      <c r="B171" s="71" t="s">
        <v>275</v>
      </c>
      <c r="C171" s="71">
        <f>VLOOKUP(A171,آبان!A:C,3,0)</f>
        <v>517</v>
      </c>
      <c r="D171" s="71">
        <v>1404</v>
      </c>
      <c r="E171" s="71">
        <v>9</v>
      </c>
      <c r="F171" s="72">
        <v>19900000</v>
      </c>
      <c r="G171" s="72">
        <v>0</v>
      </c>
      <c r="H171" s="72">
        <v>0</v>
      </c>
      <c r="I171" s="72">
        <v>1800000</v>
      </c>
    </row>
    <row r="172" spans="1:9" x14ac:dyDescent="0.25">
      <c r="A172" s="70">
        <v>6145</v>
      </c>
      <c r="B172" s="71" t="s">
        <v>276</v>
      </c>
      <c r="C172" s="71">
        <f>VLOOKUP(A172,آبان!A:C,3,0)</f>
        <v>496</v>
      </c>
      <c r="D172" s="71">
        <v>1404</v>
      </c>
      <c r="E172" s="71">
        <v>9</v>
      </c>
      <c r="F172" s="72">
        <v>19900000</v>
      </c>
      <c r="G172" s="72">
        <v>0</v>
      </c>
      <c r="H172" s="72">
        <v>0</v>
      </c>
      <c r="I172" s="72">
        <v>2100000</v>
      </c>
    </row>
    <row r="173" spans="1:9" x14ac:dyDescent="0.25">
      <c r="A173" s="70">
        <v>6149</v>
      </c>
      <c r="B173" s="71" t="s">
        <v>278</v>
      </c>
      <c r="C173" s="71">
        <f>VLOOKUP(A173,آبان!A:C,3,0)</f>
        <v>512</v>
      </c>
      <c r="D173" s="71">
        <v>1404</v>
      </c>
      <c r="E173" s="71">
        <v>9</v>
      </c>
      <c r="F173" s="72">
        <v>9950000</v>
      </c>
      <c r="G173" s="72">
        <v>170000000</v>
      </c>
      <c r="H173" s="72">
        <v>0</v>
      </c>
      <c r="I173" s="72">
        <v>4200000</v>
      </c>
    </row>
    <row r="174" spans="1:9" x14ac:dyDescent="0.25">
      <c r="A174" s="70">
        <v>6150</v>
      </c>
      <c r="B174" s="71" t="s">
        <v>279</v>
      </c>
      <c r="C174" s="71">
        <f>VLOOKUP(A174,آبان!A:C,3,0)</f>
        <v>518</v>
      </c>
      <c r="D174" s="71">
        <v>1404</v>
      </c>
      <c r="E174" s="71">
        <v>9</v>
      </c>
      <c r="F174" s="72">
        <v>9950000</v>
      </c>
      <c r="G174" s="72">
        <v>40000000</v>
      </c>
      <c r="H174" s="72">
        <v>0</v>
      </c>
      <c r="I174" s="72">
        <v>5200000</v>
      </c>
    </row>
    <row r="175" spans="1:9" x14ac:dyDescent="0.25">
      <c r="A175" s="70">
        <v>6153</v>
      </c>
      <c r="B175" s="71" t="s">
        <v>302</v>
      </c>
      <c r="C175" s="71">
        <v>529</v>
      </c>
      <c r="D175" s="71">
        <v>1404</v>
      </c>
      <c r="E175" s="71">
        <v>9</v>
      </c>
      <c r="F175" s="72">
        <v>0</v>
      </c>
      <c r="G175" s="72">
        <v>0</v>
      </c>
      <c r="H175" s="72">
        <v>0</v>
      </c>
      <c r="I175" s="72">
        <v>2100000</v>
      </c>
    </row>
    <row r="176" spans="1:9" x14ac:dyDescent="0.25">
      <c r="A176" s="70">
        <v>6154</v>
      </c>
      <c r="B176" s="71" t="s">
        <v>280</v>
      </c>
      <c r="C176" s="71">
        <f>VLOOKUP(A176,آبان!A:C,3,0)</f>
        <v>515</v>
      </c>
      <c r="D176" s="71">
        <v>1404</v>
      </c>
      <c r="E176" s="71">
        <v>9</v>
      </c>
      <c r="F176" s="72">
        <v>39800000</v>
      </c>
      <c r="G176" s="72">
        <v>0</v>
      </c>
      <c r="H176" s="72">
        <v>0</v>
      </c>
      <c r="I176" s="72">
        <v>9110000</v>
      </c>
    </row>
    <row r="177" spans="1:9" x14ac:dyDescent="0.25">
      <c r="A177" s="70">
        <v>6155</v>
      </c>
      <c r="B177" s="71" t="s">
        <v>281</v>
      </c>
      <c r="C177" s="71">
        <f>VLOOKUP(A177,آبان!A:C,3,0)</f>
        <v>516</v>
      </c>
      <c r="D177" s="71">
        <v>1404</v>
      </c>
      <c r="E177" s="71">
        <v>9</v>
      </c>
      <c r="F177" s="72">
        <v>19900000</v>
      </c>
      <c r="G177" s="72">
        <v>0</v>
      </c>
      <c r="H177" s="72">
        <v>0</v>
      </c>
      <c r="I177" s="72">
        <v>8400000</v>
      </c>
    </row>
    <row r="178" spans="1:9" x14ac:dyDescent="0.25">
      <c r="A178" s="70">
        <v>6156</v>
      </c>
      <c r="B178" s="71" t="s">
        <v>293</v>
      </c>
      <c r="C178" s="71">
        <f>VLOOKUP(A178,آبان!A:C,3,0)</f>
        <v>528</v>
      </c>
      <c r="D178" s="71">
        <v>1404</v>
      </c>
      <c r="E178" s="71">
        <v>9</v>
      </c>
      <c r="F178" s="72">
        <v>9950000</v>
      </c>
      <c r="G178" s="72">
        <v>0</v>
      </c>
      <c r="H178" s="72">
        <v>0</v>
      </c>
      <c r="I178" s="72">
        <v>2100000</v>
      </c>
    </row>
    <row r="179" spans="1:9" x14ac:dyDescent="0.25">
      <c r="A179" s="70">
        <v>6160</v>
      </c>
      <c r="B179" s="71" t="s">
        <v>294</v>
      </c>
      <c r="C179" s="71">
        <f>VLOOKUP(A179,آبان!A:C,3,0)</f>
        <v>533</v>
      </c>
      <c r="D179" s="71">
        <v>1404</v>
      </c>
      <c r="E179" s="71">
        <v>9</v>
      </c>
      <c r="F179" s="72">
        <v>19900000</v>
      </c>
      <c r="G179" s="72">
        <v>0</v>
      </c>
      <c r="H179" s="72">
        <v>0</v>
      </c>
      <c r="I179" s="72">
        <v>0</v>
      </c>
    </row>
    <row r="180" spans="1:9" x14ac:dyDescent="0.25">
      <c r="A180" s="70">
        <v>6166</v>
      </c>
      <c r="B180" s="71" t="s">
        <v>295</v>
      </c>
      <c r="C180" s="71">
        <f>VLOOKUP(A180,آبان!A:C,3,0)</f>
        <v>521</v>
      </c>
      <c r="D180" s="71">
        <v>1404</v>
      </c>
      <c r="E180" s="71">
        <v>9</v>
      </c>
      <c r="F180" s="72">
        <v>19900000</v>
      </c>
      <c r="G180" s="72">
        <v>0</v>
      </c>
      <c r="H180" s="72">
        <v>0</v>
      </c>
      <c r="I180" s="72">
        <v>0</v>
      </c>
    </row>
    <row r="181" spans="1:9" x14ac:dyDescent="0.25">
      <c r="A181" s="70">
        <v>6167</v>
      </c>
      <c r="B181" s="71" t="s">
        <v>282</v>
      </c>
      <c r="C181" s="71">
        <f>VLOOKUP(A181,آبان!A:C,3,0)</f>
        <v>537</v>
      </c>
      <c r="D181" s="71">
        <v>1404</v>
      </c>
      <c r="E181" s="71">
        <v>9</v>
      </c>
      <c r="F181" s="72">
        <v>19900000</v>
      </c>
      <c r="G181" s="72">
        <v>33333334</v>
      </c>
      <c r="H181" s="72">
        <v>0</v>
      </c>
      <c r="I181" s="72">
        <v>9600000</v>
      </c>
    </row>
    <row r="182" spans="1:9" x14ac:dyDescent="0.25">
      <c r="A182" s="70">
        <v>6168</v>
      </c>
      <c r="B182" s="71" t="s">
        <v>296</v>
      </c>
      <c r="C182" s="71">
        <f>VLOOKUP(A182,آبان!A:C,3,0)</f>
        <v>523</v>
      </c>
      <c r="D182" s="71">
        <v>1404</v>
      </c>
      <c r="E182" s="71">
        <v>9</v>
      </c>
      <c r="F182" s="72">
        <v>9950000</v>
      </c>
      <c r="G182" s="72">
        <v>0</v>
      </c>
      <c r="H182" s="72">
        <v>0</v>
      </c>
      <c r="I182" s="72">
        <v>0</v>
      </c>
    </row>
    <row r="183" spans="1:9" x14ac:dyDescent="0.25">
      <c r="A183" s="70">
        <v>6170</v>
      </c>
      <c r="B183" s="71" t="s">
        <v>297</v>
      </c>
      <c r="C183" s="71">
        <f>VLOOKUP(A183,آبان!A:C,3,0)</f>
        <v>539</v>
      </c>
      <c r="D183" s="71">
        <v>1404</v>
      </c>
      <c r="E183" s="71">
        <v>9</v>
      </c>
      <c r="F183" s="72">
        <v>29850000</v>
      </c>
      <c r="G183" s="72">
        <v>0</v>
      </c>
      <c r="H183" s="72">
        <v>0</v>
      </c>
      <c r="I183" s="72">
        <v>5885000</v>
      </c>
    </row>
    <row r="184" spans="1:9" x14ac:dyDescent="0.25">
      <c r="A184" s="70">
        <v>6173</v>
      </c>
      <c r="B184" s="71" t="s">
        <v>303</v>
      </c>
      <c r="C184" s="71">
        <v>575</v>
      </c>
      <c r="D184" s="71">
        <v>1404</v>
      </c>
      <c r="E184" s="71">
        <v>9</v>
      </c>
      <c r="F184" s="72">
        <v>0</v>
      </c>
      <c r="G184" s="72">
        <v>0</v>
      </c>
      <c r="H184" s="72">
        <v>0</v>
      </c>
      <c r="I184" s="72">
        <v>2900000</v>
      </c>
    </row>
    <row r="185" spans="1:9" x14ac:dyDescent="0.25">
      <c r="A185" s="70">
        <v>6177</v>
      </c>
      <c r="B185" s="71" t="s">
        <v>298</v>
      </c>
      <c r="C185" s="71">
        <f>VLOOKUP(A185,آبان!A:C,3,0)</f>
        <v>587</v>
      </c>
      <c r="D185" s="71">
        <v>1404</v>
      </c>
      <c r="E185" s="71">
        <v>9</v>
      </c>
      <c r="F185" s="72">
        <v>39800000</v>
      </c>
      <c r="G185" s="72">
        <v>0</v>
      </c>
      <c r="H185" s="72">
        <v>0</v>
      </c>
      <c r="I185" s="72">
        <v>0</v>
      </c>
    </row>
    <row r="186" spans="1:9" x14ac:dyDescent="0.25">
      <c r="A186" s="70">
        <v>6178</v>
      </c>
      <c r="B186" s="71" t="s">
        <v>304</v>
      </c>
      <c r="C186" s="71">
        <v>592</v>
      </c>
      <c r="D186" s="71">
        <v>1404</v>
      </c>
      <c r="E186" s="71">
        <v>9</v>
      </c>
      <c r="F186" s="72">
        <v>0</v>
      </c>
      <c r="G186" s="72">
        <v>0</v>
      </c>
      <c r="H186" s="72">
        <v>0</v>
      </c>
      <c r="I186" s="72">
        <v>4500000</v>
      </c>
    </row>
    <row r="187" spans="1:9" x14ac:dyDescent="0.25">
      <c r="A187" s="70">
        <v>6181</v>
      </c>
      <c r="B187" s="71" t="s">
        <v>305</v>
      </c>
      <c r="C187" s="71">
        <v>601</v>
      </c>
      <c r="D187" s="71">
        <v>1404</v>
      </c>
      <c r="E187" s="71">
        <v>9</v>
      </c>
      <c r="F187" s="72">
        <v>0</v>
      </c>
      <c r="G187" s="72">
        <v>120000000</v>
      </c>
      <c r="H187" s="72">
        <v>0</v>
      </c>
      <c r="I187" s="72">
        <v>1500000</v>
      </c>
    </row>
    <row r="188" spans="1:9" x14ac:dyDescent="0.25">
      <c r="A188" s="70">
        <v>6182</v>
      </c>
      <c r="B188" s="71" t="s">
        <v>306</v>
      </c>
      <c r="C188" s="71">
        <v>598</v>
      </c>
      <c r="D188" s="71">
        <v>1404</v>
      </c>
      <c r="E188" s="71">
        <v>9</v>
      </c>
      <c r="F188" s="72">
        <v>0</v>
      </c>
      <c r="G188" s="72">
        <v>0</v>
      </c>
      <c r="H188" s="72">
        <v>0</v>
      </c>
      <c r="I188" s="72">
        <v>2700000</v>
      </c>
    </row>
    <row r="189" spans="1:9" x14ac:dyDescent="0.25">
      <c r="A189" s="70">
        <v>5650</v>
      </c>
      <c r="B189" s="71" t="s">
        <v>61</v>
      </c>
      <c r="C189" s="71">
        <v>5</v>
      </c>
      <c r="D189" s="71">
        <v>1404</v>
      </c>
      <c r="E189" s="71">
        <v>9</v>
      </c>
      <c r="F189" s="72">
        <v>0</v>
      </c>
      <c r="G189" s="72">
        <v>0</v>
      </c>
      <c r="H189" s="72">
        <v>0</v>
      </c>
      <c r="I189" s="72">
        <v>4500000</v>
      </c>
    </row>
    <row r="190" spans="1:9" x14ac:dyDescent="0.25">
      <c r="A190" s="70">
        <v>5666</v>
      </c>
      <c r="B190" s="71" t="s">
        <v>64</v>
      </c>
      <c r="C190" s="71">
        <v>12</v>
      </c>
      <c r="D190" s="71">
        <v>1404</v>
      </c>
      <c r="E190" s="71">
        <v>9</v>
      </c>
      <c r="F190" s="72">
        <v>0</v>
      </c>
      <c r="G190" s="72">
        <v>0</v>
      </c>
      <c r="H190" s="72">
        <v>0</v>
      </c>
      <c r="I190" s="72">
        <v>1800000</v>
      </c>
    </row>
    <row r="191" spans="1:9" x14ac:dyDescent="0.25">
      <c r="A191" s="70">
        <v>5671</v>
      </c>
      <c r="B191" s="71" t="s">
        <v>65</v>
      </c>
      <c r="C191" s="71">
        <f>VLOOKUP(A191,آبان!A:C,3,0)</f>
        <v>128</v>
      </c>
      <c r="D191" s="71">
        <v>1404</v>
      </c>
      <c r="E191" s="71">
        <v>9</v>
      </c>
      <c r="F191" s="72">
        <v>0</v>
      </c>
      <c r="G191" s="72">
        <v>0</v>
      </c>
      <c r="H191" s="72">
        <v>0</v>
      </c>
      <c r="I191" s="72">
        <v>6200000</v>
      </c>
    </row>
    <row r="192" spans="1:9" x14ac:dyDescent="0.25">
      <c r="A192" s="70">
        <v>5749</v>
      </c>
      <c r="B192" s="71" t="s">
        <v>79</v>
      </c>
      <c r="C192" s="71">
        <v>126</v>
      </c>
      <c r="D192" s="71">
        <v>1404</v>
      </c>
      <c r="E192" s="71">
        <v>9</v>
      </c>
      <c r="F192" s="72">
        <v>0</v>
      </c>
      <c r="G192" s="72">
        <v>100000000</v>
      </c>
      <c r="H192" s="72">
        <v>0</v>
      </c>
      <c r="I192" s="72">
        <v>0</v>
      </c>
    </row>
    <row r="193" spans="1:9" x14ac:dyDescent="0.25">
      <c r="A193" s="70">
        <v>5833</v>
      </c>
      <c r="B193" s="71" t="s">
        <v>98</v>
      </c>
      <c r="C193" s="71">
        <f>VLOOKUP(A193,آبان!A:C,3,0)</f>
        <v>125</v>
      </c>
      <c r="D193" s="71">
        <v>1404</v>
      </c>
      <c r="E193" s="71">
        <v>9</v>
      </c>
      <c r="F193" s="72">
        <v>0</v>
      </c>
      <c r="G193" s="72">
        <v>0</v>
      </c>
      <c r="H193" s="72">
        <v>0</v>
      </c>
      <c r="I193" s="72">
        <v>5200000</v>
      </c>
    </row>
    <row r="194" spans="1:9" x14ac:dyDescent="0.25">
      <c r="A194" s="70">
        <v>5876</v>
      </c>
      <c r="B194" s="71" t="s">
        <v>110</v>
      </c>
      <c r="C194" s="71">
        <v>127</v>
      </c>
      <c r="D194" s="71">
        <v>1404</v>
      </c>
      <c r="E194" s="71">
        <v>9</v>
      </c>
      <c r="F194" s="72">
        <v>0</v>
      </c>
      <c r="G194" s="72">
        <v>0</v>
      </c>
      <c r="H194" s="72">
        <v>0</v>
      </c>
      <c r="I194" s="72">
        <v>5600000</v>
      </c>
    </row>
    <row r="195" spans="1:9" x14ac:dyDescent="0.25">
      <c r="A195" s="70">
        <v>5905</v>
      </c>
      <c r="B195" s="71" t="s">
        <v>121</v>
      </c>
      <c r="C195" s="71">
        <f>VLOOKUP(A195,آبان!A:C,3,0)</f>
        <v>498</v>
      </c>
      <c r="D195" s="71">
        <v>1404</v>
      </c>
      <c r="E195" s="71">
        <v>9</v>
      </c>
      <c r="F195" s="72">
        <v>0</v>
      </c>
      <c r="G195" s="72">
        <v>15786166</v>
      </c>
      <c r="H195" s="72">
        <v>0</v>
      </c>
      <c r="I195" s="72">
        <v>3900000</v>
      </c>
    </row>
    <row r="196" spans="1:9" x14ac:dyDescent="0.25">
      <c r="A196" s="70">
        <v>5958</v>
      </c>
      <c r="B196" s="71" t="s">
        <v>143</v>
      </c>
      <c r="C196" s="71">
        <f>VLOOKUP(A196,آبان!A:C,3,0)</f>
        <v>309</v>
      </c>
      <c r="D196" s="71">
        <v>1404</v>
      </c>
      <c r="E196" s="71">
        <v>9</v>
      </c>
      <c r="F196" s="72">
        <v>0</v>
      </c>
      <c r="G196" s="72">
        <v>30000000</v>
      </c>
      <c r="H196" s="72">
        <v>0</v>
      </c>
      <c r="I196" s="72">
        <v>6600000</v>
      </c>
    </row>
    <row r="197" spans="1:9" x14ac:dyDescent="0.25">
      <c r="A197" s="70">
        <v>6075</v>
      </c>
      <c r="B197" s="71" t="s">
        <v>187</v>
      </c>
      <c r="C197" s="71">
        <f>VLOOKUP(A197,آبان!A:C,3,0)</f>
        <v>415</v>
      </c>
      <c r="D197" s="71">
        <v>1404</v>
      </c>
      <c r="E197" s="71">
        <v>9</v>
      </c>
      <c r="F197" s="72">
        <v>0</v>
      </c>
      <c r="G197" s="72">
        <v>47718500</v>
      </c>
      <c r="H197" s="72">
        <v>0</v>
      </c>
      <c r="I197" s="72">
        <v>0</v>
      </c>
    </row>
    <row r="198" spans="1:9" x14ac:dyDescent="0.25">
      <c r="A198" s="70">
        <v>6100</v>
      </c>
      <c r="B198" s="71" t="s">
        <v>235</v>
      </c>
      <c r="C198" s="71">
        <f>VLOOKUP(A198,آبان!A:C,3,0)</f>
        <v>460</v>
      </c>
      <c r="D198" s="71">
        <v>1404</v>
      </c>
      <c r="E198" s="71">
        <v>9</v>
      </c>
      <c r="F198" s="72">
        <v>0</v>
      </c>
      <c r="G198" s="72">
        <v>30000000</v>
      </c>
      <c r="H198" s="72">
        <v>0</v>
      </c>
      <c r="I198" s="72">
        <v>9400000</v>
      </c>
    </row>
    <row r="199" spans="1:9" x14ac:dyDescent="0.25">
      <c r="A199" s="70">
        <v>5663</v>
      </c>
      <c r="B199" s="71" t="s">
        <v>284</v>
      </c>
      <c r="C199" s="71">
        <f>VLOOKUP(A199,آبان!A:C,3,0)</f>
        <v>524</v>
      </c>
      <c r="D199" s="71">
        <v>1404</v>
      </c>
      <c r="E199" s="71">
        <v>9</v>
      </c>
      <c r="F199" s="72">
        <v>0</v>
      </c>
      <c r="G199" s="72">
        <v>47700000</v>
      </c>
      <c r="H199" s="72">
        <v>0</v>
      </c>
      <c r="I199" s="72">
        <v>4500000</v>
      </c>
    </row>
    <row r="200" spans="1:9" x14ac:dyDescent="0.25">
      <c r="A200" s="70">
        <v>5914</v>
      </c>
      <c r="B200" s="71" t="s">
        <v>125</v>
      </c>
      <c r="C200" s="71">
        <f>VLOOKUP(A200,آبان!A:C,3,0)</f>
        <v>14</v>
      </c>
      <c r="D200" s="71">
        <v>1404</v>
      </c>
      <c r="E200" s="71">
        <v>9</v>
      </c>
      <c r="F200" s="72">
        <v>0</v>
      </c>
      <c r="G200" s="72">
        <v>129999999</v>
      </c>
      <c r="H200" s="72">
        <v>0</v>
      </c>
      <c r="I200" s="72">
        <v>4500000</v>
      </c>
    </row>
    <row r="201" spans="1:9" x14ac:dyDescent="0.25">
      <c r="A201" s="70">
        <v>6046</v>
      </c>
      <c r="B201" s="71" t="s">
        <v>179</v>
      </c>
      <c r="C201" s="71">
        <f>VLOOKUP(A201,آبان!A:C,3,0)</f>
        <v>396</v>
      </c>
      <c r="D201" s="71">
        <v>1404</v>
      </c>
      <c r="E201" s="71">
        <v>9</v>
      </c>
      <c r="F201" s="72">
        <v>0</v>
      </c>
      <c r="G201" s="72">
        <v>0</v>
      </c>
      <c r="H201" s="72">
        <v>0</v>
      </c>
      <c r="I201" s="72">
        <v>3200000</v>
      </c>
    </row>
    <row r="202" spans="1:9" x14ac:dyDescent="0.25">
      <c r="A202" s="70">
        <v>6118</v>
      </c>
      <c r="B202" s="71" t="s">
        <v>286</v>
      </c>
      <c r="C202" s="71">
        <f>VLOOKUP(A202,آبان!A:C,3,0)</f>
        <v>489</v>
      </c>
      <c r="D202" s="71">
        <v>1404</v>
      </c>
      <c r="E202" s="71">
        <v>9</v>
      </c>
      <c r="F202" s="72">
        <v>0</v>
      </c>
      <c r="G202" s="72">
        <v>69427333</v>
      </c>
      <c r="H202" s="72">
        <v>0</v>
      </c>
      <c r="I202" s="72">
        <v>0</v>
      </c>
    </row>
  </sheetData>
  <autoFilter ref="A1:I202" xr:uid="{05BA859F-2A9E-45CB-B8D1-EC37BD5EE78E}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131F-D018-4F77-B8ED-30A3054FC84E}">
  <dimension ref="A1:K206"/>
  <sheetViews>
    <sheetView rightToLeft="1" topLeftCell="A70" workbookViewId="0">
      <selection activeCell="C1" sqref="C1"/>
    </sheetView>
  </sheetViews>
  <sheetFormatPr defaultRowHeight="22.5" x14ac:dyDescent="0.25"/>
  <cols>
    <col min="1" max="1" width="7.75" style="74" bestFit="1" customWidth="1"/>
    <col min="2" max="2" width="24.25" style="74" bestFit="1" customWidth="1"/>
    <col min="3" max="4" width="24.25" style="76" customWidth="1"/>
    <col min="5" max="5" width="9" style="76" customWidth="1"/>
    <col min="6" max="6" width="12.375" style="77" customWidth="1"/>
    <col min="7" max="7" width="11.5" style="77" customWidth="1"/>
    <col min="8" max="8" width="15.25" style="77" customWidth="1"/>
    <col min="9" max="9" width="13" style="78" bestFit="1" customWidth="1"/>
    <col min="10" max="11" width="12.625" style="78" bestFit="1" customWidth="1"/>
    <col min="12" max="16384" width="9" style="73"/>
  </cols>
  <sheetData>
    <row r="1" spans="1:11" x14ac:dyDescent="0.25">
      <c r="A1" s="66" t="s">
        <v>0</v>
      </c>
      <c r="B1" s="66" t="s">
        <v>1</v>
      </c>
      <c r="C1" s="41" t="s">
        <v>248</v>
      </c>
      <c r="D1" s="41" t="s">
        <v>283</v>
      </c>
      <c r="E1" s="41" t="s">
        <v>206</v>
      </c>
      <c r="F1" s="68" t="s">
        <v>209</v>
      </c>
      <c r="G1" s="68" t="s">
        <v>207</v>
      </c>
      <c r="H1" s="68" t="s">
        <v>208</v>
      </c>
      <c r="I1" s="68" t="s">
        <v>310</v>
      </c>
      <c r="J1" s="68" t="s">
        <v>311</v>
      </c>
      <c r="K1" s="68" t="s">
        <v>312</v>
      </c>
    </row>
    <row r="2" spans="1:11" x14ac:dyDescent="0.25">
      <c r="A2" s="75">
        <v>3567</v>
      </c>
      <c r="B2" s="66" t="s">
        <v>3</v>
      </c>
      <c r="C2" s="66">
        <v>57</v>
      </c>
      <c r="D2" s="66">
        <v>1404</v>
      </c>
      <c r="E2" s="41">
        <v>10</v>
      </c>
      <c r="F2" s="68">
        <v>19900000</v>
      </c>
      <c r="G2" s="68">
        <v>40000000</v>
      </c>
      <c r="H2" s="68">
        <v>0</v>
      </c>
      <c r="I2" s="58">
        <v>4500000</v>
      </c>
      <c r="J2" s="58">
        <v>0</v>
      </c>
      <c r="K2" s="58">
        <v>0</v>
      </c>
    </row>
    <row r="3" spans="1:11" x14ac:dyDescent="0.25">
      <c r="A3" s="75">
        <v>3607</v>
      </c>
      <c r="B3" s="66" t="s">
        <v>4</v>
      </c>
      <c r="C3" s="66">
        <v>119</v>
      </c>
      <c r="D3" s="66">
        <v>1404</v>
      </c>
      <c r="E3" s="41">
        <v>10</v>
      </c>
      <c r="F3" s="68">
        <v>49750000</v>
      </c>
      <c r="G3" s="68">
        <v>30000000</v>
      </c>
      <c r="H3" s="68">
        <v>0</v>
      </c>
      <c r="I3" s="58">
        <v>5400000</v>
      </c>
      <c r="J3" s="58">
        <v>0</v>
      </c>
      <c r="K3" s="58">
        <v>0</v>
      </c>
    </row>
    <row r="4" spans="1:11" x14ac:dyDescent="0.25">
      <c r="A4" s="75">
        <v>3653</v>
      </c>
      <c r="B4" s="66" t="s">
        <v>5</v>
      </c>
      <c r="C4" s="66">
        <v>34</v>
      </c>
      <c r="D4" s="66">
        <v>1404</v>
      </c>
      <c r="E4" s="41">
        <v>10</v>
      </c>
      <c r="F4" s="68">
        <v>49750000</v>
      </c>
      <c r="G4" s="68">
        <v>0</v>
      </c>
      <c r="H4" s="68">
        <v>0</v>
      </c>
      <c r="I4" s="58">
        <v>5400000</v>
      </c>
      <c r="J4" s="58">
        <v>0</v>
      </c>
      <c r="K4" s="58">
        <v>0</v>
      </c>
    </row>
    <row r="5" spans="1:11" x14ac:dyDescent="0.25">
      <c r="A5" s="75">
        <v>4590</v>
      </c>
      <c r="B5" s="66" t="s">
        <v>6</v>
      </c>
      <c r="C5" s="66">
        <v>30</v>
      </c>
      <c r="D5" s="66">
        <v>1404</v>
      </c>
      <c r="E5" s="41">
        <v>10</v>
      </c>
      <c r="F5" s="68">
        <v>0</v>
      </c>
      <c r="G5" s="68">
        <v>40000000</v>
      </c>
      <c r="H5" s="68">
        <v>0</v>
      </c>
      <c r="I5" s="58">
        <v>0</v>
      </c>
      <c r="J5" s="58">
        <v>0</v>
      </c>
      <c r="K5" s="58">
        <v>0</v>
      </c>
    </row>
    <row r="6" spans="1:11" x14ac:dyDescent="0.25">
      <c r="A6" s="75">
        <v>4597</v>
      </c>
      <c r="B6" s="66" t="s">
        <v>7</v>
      </c>
      <c r="C6" s="66">
        <v>38</v>
      </c>
      <c r="D6" s="66">
        <v>1404</v>
      </c>
      <c r="E6" s="41">
        <v>10</v>
      </c>
      <c r="F6" s="68">
        <v>39800000</v>
      </c>
      <c r="G6" s="68">
        <v>60000000</v>
      </c>
      <c r="H6" s="68">
        <v>0</v>
      </c>
      <c r="I6" s="58">
        <v>0</v>
      </c>
      <c r="J6" s="58">
        <v>0</v>
      </c>
      <c r="K6" s="58">
        <v>0</v>
      </c>
    </row>
    <row r="7" spans="1:11" x14ac:dyDescent="0.25">
      <c r="A7" s="75">
        <v>4598</v>
      </c>
      <c r="B7" s="66" t="s">
        <v>8</v>
      </c>
      <c r="C7" s="66">
        <v>129</v>
      </c>
      <c r="D7" s="66">
        <v>1404</v>
      </c>
      <c r="E7" s="41">
        <v>10</v>
      </c>
      <c r="F7" s="68">
        <v>39800000</v>
      </c>
      <c r="G7" s="68">
        <v>40000000</v>
      </c>
      <c r="H7" s="68">
        <v>0</v>
      </c>
      <c r="I7" s="58">
        <v>5400000</v>
      </c>
      <c r="J7" s="58">
        <v>0</v>
      </c>
      <c r="K7" s="58">
        <v>0</v>
      </c>
    </row>
    <row r="8" spans="1:11" x14ac:dyDescent="0.25">
      <c r="A8" s="75">
        <v>4614</v>
      </c>
      <c r="B8" s="66" t="s">
        <v>9</v>
      </c>
      <c r="C8" s="66">
        <v>140</v>
      </c>
      <c r="D8" s="66">
        <v>1404</v>
      </c>
      <c r="E8" s="41">
        <v>10</v>
      </c>
      <c r="F8" s="68">
        <v>9950000</v>
      </c>
      <c r="G8" s="68">
        <v>0</v>
      </c>
      <c r="H8" s="68">
        <v>0</v>
      </c>
      <c r="I8" s="58">
        <v>5400000</v>
      </c>
      <c r="J8" s="58">
        <v>0</v>
      </c>
      <c r="K8" s="58">
        <v>0</v>
      </c>
    </row>
    <row r="9" spans="1:11" x14ac:dyDescent="0.25">
      <c r="A9" s="75">
        <v>4622</v>
      </c>
      <c r="B9" s="66" t="s">
        <v>11</v>
      </c>
      <c r="C9" s="66">
        <v>35</v>
      </c>
      <c r="D9" s="66">
        <v>1404</v>
      </c>
      <c r="E9" s="41">
        <v>10</v>
      </c>
      <c r="F9" s="68">
        <v>39800000</v>
      </c>
      <c r="G9" s="68">
        <v>30000000</v>
      </c>
      <c r="H9" s="68">
        <v>0</v>
      </c>
      <c r="I9" s="58">
        <v>0</v>
      </c>
      <c r="J9" s="58">
        <v>0</v>
      </c>
      <c r="K9" s="58">
        <v>0</v>
      </c>
    </row>
    <row r="10" spans="1:11" x14ac:dyDescent="0.25">
      <c r="A10" s="75">
        <v>4636</v>
      </c>
      <c r="B10" s="66" t="s">
        <v>12</v>
      </c>
      <c r="C10" s="66">
        <v>62</v>
      </c>
      <c r="D10" s="66">
        <v>1404</v>
      </c>
      <c r="E10" s="41">
        <v>10</v>
      </c>
      <c r="F10" s="68">
        <v>59700000</v>
      </c>
      <c r="G10" s="68">
        <v>100000000</v>
      </c>
      <c r="H10" s="68">
        <v>0</v>
      </c>
      <c r="I10" s="58">
        <v>0</v>
      </c>
      <c r="J10" s="58">
        <v>0</v>
      </c>
      <c r="K10" s="58">
        <v>0</v>
      </c>
    </row>
    <row r="11" spans="1:11" x14ac:dyDescent="0.25">
      <c r="A11" s="75">
        <v>4648</v>
      </c>
      <c r="B11" s="66" t="s">
        <v>15</v>
      </c>
      <c r="C11" s="66">
        <v>160</v>
      </c>
      <c r="D11" s="66">
        <v>1404</v>
      </c>
      <c r="E11" s="41">
        <v>10</v>
      </c>
      <c r="F11" s="68">
        <v>29850000</v>
      </c>
      <c r="G11" s="68">
        <v>0</v>
      </c>
      <c r="H11" s="68">
        <v>0</v>
      </c>
      <c r="I11" s="58">
        <v>5400000</v>
      </c>
      <c r="J11" s="58">
        <v>0</v>
      </c>
      <c r="K11" s="58">
        <v>0</v>
      </c>
    </row>
    <row r="12" spans="1:11" x14ac:dyDescent="0.25">
      <c r="A12" s="75">
        <v>4651</v>
      </c>
      <c r="B12" s="66" t="s">
        <v>16</v>
      </c>
      <c r="C12" s="66">
        <v>52</v>
      </c>
      <c r="D12" s="66">
        <v>1404</v>
      </c>
      <c r="E12" s="41">
        <v>10</v>
      </c>
      <c r="F12" s="68">
        <v>69650000</v>
      </c>
      <c r="G12" s="68">
        <v>30000000</v>
      </c>
      <c r="H12" s="68">
        <v>0</v>
      </c>
      <c r="I12" s="58">
        <v>18000000</v>
      </c>
      <c r="J12" s="58">
        <v>0</v>
      </c>
      <c r="K12" s="58">
        <v>0</v>
      </c>
    </row>
    <row r="13" spans="1:11" x14ac:dyDescent="0.25">
      <c r="A13" s="75">
        <v>4654</v>
      </c>
      <c r="B13" s="66" t="s">
        <v>18</v>
      </c>
      <c r="C13" s="66">
        <v>85</v>
      </c>
      <c r="D13" s="66">
        <v>1404</v>
      </c>
      <c r="E13" s="41">
        <v>10</v>
      </c>
      <c r="F13" s="68">
        <v>39800000</v>
      </c>
      <c r="G13" s="68">
        <v>0</v>
      </c>
      <c r="H13" s="68">
        <v>0</v>
      </c>
      <c r="I13" s="58">
        <v>3600000</v>
      </c>
      <c r="J13" s="58">
        <v>0</v>
      </c>
      <c r="K13" s="58">
        <v>0</v>
      </c>
    </row>
    <row r="14" spans="1:11" x14ac:dyDescent="0.25">
      <c r="A14" s="75">
        <v>4655</v>
      </c>
      <c r="B14" s="66" t="s">
        <v>19</v>
      </c>
      <c r="C14" s="66">
        <v>122</v>
      </c>
      <c r="D14" s="66">
        <v>1404</v>
      </c>
      <c r="E14" s="41">
        <v>10</v>
      </c>
      <c r="F14" s="68">
        <v>0</v>
      </c>
      <c r="G14" s="68">
        <v>30000000</v>
      </c>
      <c r="H14" s="68">
        <v>0</v>
      </c>
      <c r="I14" s="58">
        <v>10500000</v>
      </c>
      <c r="J14" s="58">
        <v>0</v>
      </c>
      <c r="K14" s="58">
        <v>0</v>
      </c>
    </row>
    <row r="15" spans="1:11" x14ac:dyDescent="0.25">
      <c r="A15" s="75">
        <v>4656</v>
      </c>
      <c r="B15" s="66" t="s">
        <v>20</v>
      </c>
      <c r="C15" s="66">
        <v>39</v>
      </c>
      <c r="D15" s="66">
        <v>1404</v>
      </c>
      <c r="E15" s="41">
        <v>10</v>
      </c>
      <c r="F15" s="68">
        <v>0</v>
      </c>
      <c r="G15" s="68">
        <v>90000000</v>
      </c>
      <c r="H15" s="68">
        <v>0</v>
      </c>
      <c r="I15" s="58">
        <v>5400000</v>
      </c>
      <c r="J15" s="58">
        <v>0</v>
      </c>
      <c r="K15" s="58">
        <v>0</v>
      </c>
    </row>
    <row r="16" spans="1:11" x14ac:dyDescent="0.25">
      <c r="A16" s="75">
        <v>4657</v>
      </c>
      <c r="B16" s="66" t="s">
        <v>21</v>
      </c>
      <c r="C16" s="66">
        <v>71</v>
      </c>
      <c r="D16" s="66">
        <v>1404</v>
      </c>
      <c r="E16" s="41">
        <v>10</v>
      </c>
      <c r="F16" s="68">
        <v>39800000</v>
      </c>
      <c r="G16" s="68">
        <v>40000000</v>
      </c>
      <c r="H16" s="68">
        <v>0</v>
      </c>
      <c r="I16" s="58">
        <v>28000000</v>
      </c>
      <c r="J16" s="58">
        <v>0</v>
      </c>
      <c r="K16" s="58">
        <v>0</v>
      </c>
    </row>
    <row r="17" spans="1:11" x14ac:dyDescent="0.25">
      <c r="A17" s="75">
        <v>4660</v>
      </c>
      <c r="B17" s="66" t="s">
        <v>23</v>
      </c>
      <c r="C17" s="66">
        <v>72</v>
      </c>
      <c r="D17" s="66">
        <v>1404</v>
      </c>
      <c r="E17" s="41">
        <v>10</v>
      </c>
      <c r="F17" s="68">
        <v>39800000</v>
      </c>
      <c r="G17" s="68">
        <v>40000000</v>
      </c>
      <c r="H17" s="68">
        <v>0</v>
      </c>
      <c r="I17" s="58">
        <v>0</v>
      </c>
      <c r="J17" s="58">
        <v>0</v>
      </c>
      <c r="K17" s="58">
        <v>0</v>
      </c>
    </row>
    <row r="18" spans="1:11" x14ac:dyDescent="0.25">
      <c r="A18" s="75">
        <v>4661</v>
      </c>
      <c r="B18" s="66" t="s">
        <v>24</v>
      </c>
      <c r="C18" s="66">
        <v>63</v>
      </c>
      <c r="D18" s="66">
        <v>1404</v>
      </c>
      <c r="E18" s="41">
        <v>10</v>
      </c>
      <c r="F18" s="68">
        <v>0</v>
      </c>
      <c r="G18" s="68">
        <v>0</v>
      </c>
      <c r="H18" s="68">
        <v>0</v>
      </c>
      <c r="I18" s="58">
        <v>36000000</v>
      </c>
      <c r="J18" s="58">
        <v>0</v>
      </c>
      <c r="K18" s="58">
        <v>0</v>
      </c>
    </row>
    <row r="19" spans="1:11" x14ac:dyDescent="0.25">
      <c r="A19" s="75">
        <v>4663</v>
      </c>
      <c r="B19" s="66" t="s">
        <v>25</v>
      </c>
      <c r="C19" s="66">
        <v>70</v>
      </c>
      <c r="D19" s="66">
        <v>1404</v>
      </c>
      <c r="E19" s="41">
        <v>10</v>
      </c>
      <c r="F19" s="68">
        <v>79600000</v>
      </c>
      <c r="G19" s="68">
        <v>60000000</v>
      </c>
      <c r="H19" s="68">
        <v>0</v>
      </c>
      <c r="I19" s="58">
        <v>3600000</v>
      </c>
      <c r="J19" s="58">
        <v>0</v>
      </c>
      <c r="K19" s="58">
        <v>0</v>
      </c>
    </row>
    <row r="20" spans="1:11" x14ac:dyDescent="0.25">
      <c r="A20" s="75">
        <v>4664</v>
      </c>
      <c r="B20" s="66" t="s">
        <v>26</v>
      </c>
      <c r="C20" s="66">
        <v>65</v>
      </c>
      <c r="D20" s="66">
        <v>1404</v>
      </c>
      <c r="E20" s="41">
        <v>10</v>
      </c>
      <c r="F20" s="68">
        <v>39800000</v>
      </c>
      <c r="G20" s="68">
        <v>20000000</v>
      </c>
      <c r="H20" s="68">
        <v>0</v>
      </c>
      <c r="I20" s="58">
        <v>5100000</v>
      </c>
      <c r="J20" s="58">
        <v>0</v>
      </c>
      <c r="K20" s="58">
        <v>0</v>
      </c>
    </row>
    <row r="21" spans="1:11" x14ac:dyDescent="0.25">
      <c r="A21" s="75">
        <v>4665</v>
      </c>
      <c r="B21" s="66" t="s">
        <v>27</v>
      </c>
      <c r="C21" s="66">
        <v>64</v>
      </c>
      <c r="D21" s="66">
        <v>1404</v>
      </c>
      <c r="E21" s="41">
        <v>10</v>
      </c>
      <c r="F21" s="68">
        <v>0</v>
      </c>
      <c r="G21" s="68">
        <v>60000000</v>
      </c>
      <c r="H21" s="68">
        <v>0</v>
      </c>
      <c r="I21" s="58">
        <v>5400000</v>
      </c>
      <c r="J21" s="58">
        <v>0</v>
      </c>
      <c r="K21" s="58">
        <v>0</v>
      </c>
    </row>
    <row r="22" spans="1:11" x14ac:dyDescent="0.25">
      <c r="A22" s="75">
        <v>4666</v>
      </c>
      <c r="B22" s="66" t="s">
        <v>28</v>
      </c>
      <c r="C22" s="66">
        <v>69</v>
      </c>
      <c r="D22" s="66">
        <v>1404</v>
      </c>
      <c r="E22" s="41">
        <v>10</v>
      </c>
      <c r="F22" s="68">
        <v>49750000</v>
      </c>
      <c r="G22" s="68">
        <v>110000000</v>
      </c>
      <c r="H22" s="68">
        <v>0</v>
      </c>
      <c r="I22" s="58">
        <v>30000000</v>
      </c>
      <c r="J22" s="58">
        <v>0</v>
      </c>
      <c r="K22" s="58">
        <v>0</v>
      </c>
    </row>
    <row r="23" spans="1:11" x14ac:dyDescent="0.25">
      <c r="A23" s="75">
        <v>4667</v>
      </c>
      <c r="B23" s="66" t="s">
        <v>29</v>
      </c>
      <c r="C23" s="66">
        <v>94</v>
      </c>
      <c r="D23" s="66">
        <v>1404</v>
      </c>
      <c r="E23" s="41">
        <v>10</v>
      </c>
      <c r="F23" s="68">
        <v>59700000</v>
      </c>
      <c r="G23" s="68">
        <v>30000000</v>
      </c>
      <c r="H23" s="68">
        <v>0</v>
      </c>
      <c r="I23" s="58">
        <v>0</v>
      </c>
      <c r="J23" s="58">
        <v>0</v>
      </c>
      <c r="K23" s="58">
        <v>0</v>
      </c>
    </row>
    <row r="24" spans="1:11" x14ac:dyDescent="0.25">
      <c r="A24" s="75">
        <v>4669</v>
      </c>
      <c r="B24" s="66" t="s">
        <v>31</v>
      </c>
      <c r="C24" s="66">
        <v>68</v>
      </c>
      <c r="D24" s="66">
        <v>1404</v>
      </c>
      <c r="E24" s="41">
        <v>10</v>
      </c>
      <c r="F24" s="68">
        <v>69650000</v>
      </c>
      <c r="G24" s="68">
        <v>0</v>
      </c>
      <c r="H24" s="68">
        <v>0</v>
      </c>
      <c r="I24" s="58">
        <v>0</v>
      </c>
      <c r="J24" s="58">
        <v>0</v>
      </c>
      <c r="K24" s="58">
        <v>0</v>
      </c>
    </row>
    <row r="25" spans="1:11" x14ac:dyDescent="0.25">
      <c r="A25" s="75">
        <v>4670</v>
      </c>
      <c r="B25" s="66" t="s">
        <v>32</v>
      </c>
      <c r="C25" s="66">
        <v>90</v>
      </c>
      <c r="D25" s="66">
        <v>1404</v>
      </c>
      <c r="E25" s="41">
        <v>10</v>
      </c>
      <c r="F25" s="68">
        <v>0</v>
      </c>
      <c r="G25" s="68">
        <v>30000000</v>
      </c>
      <c r="H25" s="68">
        <v>0</v>
      </c>
      <c r="I25" s="58">
        <v>5400000</v>
      </c>
      <c r="J25" s="58">
        <v>0</v>
      </c>
      <c r="K25" s="58">
        <v>0</v>
      </c>
    </row>
    <row r="26" spans="1:11" x14ac:dyDescent="0.25">
      <c r="A26" s="75">
        <v>4671</v>
      </c>
      <c r="B26" s="66" t="s">
        <v>33</v>
      </c>
      <c r="C26" s="66">
        <v>73</v>
      </c>
      <c r="D26" s="66">
        <v>1404</v>
      </c>
      <c r="E26" s="41">
        <v>10</v>
      </c>
      <c r="F26" s="68">
        <v>19900000</v>
      </c>
      <c r="G26" s="68">
        <v>20000000</v>
      </c>
      <c r="H26" s="68">
        <v>0</v>
      </c>
      <c r="I26" s="58">
        <v>3600000</v>
      </c>
      <c r="J26" s="58">
        <v>0</v>
      </c>
      <c r="K26" s="58">
        <v>0</v>
      </c>
    </row>
    <row r="27" spans="1:11" x14ac:dyDescent="0.25">
      <c r="A27" s="75">
        <v>4673</v>
      </c>
      <c r="B27" s="66" t="s">
        <v>34</v>
      </c>
      <c r="C27" s="66">
        <v>45</v>
      </c>
      <c r="D27" s="66">
        <v>1404</v>
      </c>
      <c r="E27" s="41">
        <v>10</v>
      </c>
      <c r="F27" s="68">
        <v>29850000</v>
      </c>
      <c r="G27" s="68">
        <v>0</v>
      </c>
      <c r="H27" s="68">
        <v>0</v>
      </c>
      <c r="I27" s="58">
        <v>0</v>
      </c>
      <c r="J27" s="58">
        <v>0</v>
      </c>
      <c r="K27" s="58">
        <v>0</v>
      </c>
    </row>
    <row r="28" spans="1:11" x14ac:dyDescent="0.25">
      <c r="A28" s="75">
        <v>4686</v>
      </c>
      <c r="B28" s="66" t="s">
        <v>35</v>
      </c>
      <c r="C28" s="66">
        <v>27</v>
      </c>
      <c r="D28" s="66">
        <v>1404</v>
      </c>
      <c r="E28" s="41">
        <v>10</v>
      </c>
      <c r="F28" s="68">
        <v>19900000</v>
      </c>
      <c r="G28" s="68">
        <v>0</v>
      </c>
      <c r="H28" s="68">
        <v>0</v>
      </c>
      <c r="I28" s="58">
        <v>900000</v>
      </c>
      <c r="J28" s="58">
        <v>0</v>
      </c>
      <c r="K28" s="58">
        <v>0</v>
      </c>
    </row>
    <row r="29" spans="1:11" x14ac:dyDescent="0.25">
      <c r="A29" s="75">
        <v>4687</v>
      </c>
      <c r="B29" s="66" t="s">
        <v>36</v>
      </c>
      <c r="C29" s="66">
        <v>136</v>
      </c>
      <c r="D29" s="66">
        <v>1404</v>
      </c>
      <c r="E29" s="41">
        <v>10</v>
      </c>
      <c r="F29" s="68">
        <v>39800000</v>
      </c>
      <c r="G29" s="68">
        <v>0</v>
      </c>
      <c r="H29" s="68">
        <v>0</v>
      </c>
      <c r="I29" s="58">
        <v>5400000</v>
      </c>
      <c r="J29" s="58">
        <v>0</v>
      </c>
      <c r="K29" s="58">
        <v>0</v>
      </c>
    </row>
    <row r="30" spans="1:11" x14ac:dyDescent="0.25">
      <c r="A30" s="75">
        <v>4689</v>
      </c>
      <c r="B30" s="66" t="s">
        <v>38</v>
      </c>
      <c r="C30" s="66">
        <v>96</v>
      </c>
      <c r="D30" s="66">
        <v>1404</v>
      </c>
      <c r="E30" s="41">
        <v>10</v>
      </c>
      <c r="F30" s="68">
        <v>19900000</v>
      </c>
      <c r="G30" s="68">
        <v>30000000</v>
      </c>
      <c r="H30" s="68">
        <v>0</v>
      </c>
      <c r="I30" s="58">
        <v>0</v>
      </c>
      <c r="J30" s="58">
        <v>0</v>
      </c>
      <c r="K30" s="58">
        <v>0</v>
      </c>
    </row>
    <row r="31" spans="1:11" x14ac:dyDescent="0.25">
      <c r="A31" s="75">
        <v>4693</v>
      </c>
      <c r="B31" s="66" t="s">
        <v>39</v>
      </c>
      <c r="C31" s="66">
        <v>24</v>
      </c>
      <c r="D31" s="66">
        <v>1404</v>
      </c>
      <c r="E31" s="41">
        <v>10</v>
      </c>
      <c r="F31" s="68">
        <v>9950000</v>
      </c>
      <c r="G31" s="68">
        <v>0</v>
      </c>
      <c r="H31" s="68">
        <v>0</v>
      </c>
      <c r="I31" s="58">
        <v>20700000</v>
      </c>
      <c r="J31" s="58">
        <v>0</v>
      </c>
      <c r="K31" s="58">
        <v>0</v>
      </c>
    </row>
    <row r="32" spans="1:11" x14ac:dyDescent="0.25">
      <c r="A32" s="75">
        <v>4701</v>
      </c>
      <c r="B32" s="66" t="s">
        <v>40</v>
      </c>
      <c r="C32" s="66">
        <v>138</v>
      </c>
      <c r="D32" s="66">
        <v>1404</v>
      </c>
      <c r="E32" s="41">
        <v>10</v>
      </c>
      <c r="F32" s="68">
        <v>0</v>
      </c>
      <c r="G32" s="68">
        <v>0</v>
      </c>
      <c r="H32" s="68">
        <v>0</v>
      </c>
      <c r="I32" s="58">
        <v>4800000</v>
      </c>
      <c r="J32" s="58">
        <v>0</v>
      </c>
      <c r="K32" s="58">
        <v>0</v>
      </c>
    </row>
    <row r="33" spans="1:11" x14ac:dyDescent="0.25">
      <c r="A33" s="75">
        <v>4705</v>
      </c>
      <c r="B33" s="66" t="s">
        <v>41</v>
      </c>
      <c r="C33" s="66">
        <v>134</v>
      </c>
      <c r="D33" s="66">
        <v>1404</v>
      </c>
      <c r="E33" s="41">
        <v>10</v>
      </c>
      <c r="F33" s="68">
        <v>9950000</v>
      </c>
      <c r="G33" s="68">
        <v>0</v>
      </c>
      <c r="H33" s="68">
        <v>0</v>
      </c>
      <c r="I33" s="58">
        <v>0</v>
      </c>
      <c r="J33" s="58">
        <v>0</v>
      </c>
      <c r="K33" s="58">
        <v>0</v>
      </c>
    </row>
    <row r="34" spans="1:11" x14ac:dyDescent="0.25">
      <c r="A34" s="75">
        <v>4727</v>
      </c>
      <c r="B34" s="66" t="s">
        <v>42</v>
      </c>
      <c r="C34" s="66">
        <v>58</v>
      </c>
      <c r="D34" s="66">
        <v>1404</v>
      </c>
      <c r="E34" s="41">
        <v>10</v>
      </c>
      <c r="F34" s="68">
        <v>9950000</v>
      </c>
      <c r="G34" s="68">
        <v>0</v>
      </c>
      <c r="H34" s="68">
        <v>0</v>
      </c>
      <c r="I34" s="58">
        <v>0</v>
      </c>
      <c r="J34" s="58">
        <v>111604525</v>
      </c>
      <c r="K34" s="58">
        <v>0</v>
      </c>
    </row>
    <row r="35" spans="1:11" x14ac:dyDescent="0.25">
      <c r="A35" s="75">
        <v>4728</v>
      </c>
      <c r="B35" s="66" t="s">
        <v>43</v>
      </c>
      <c r="C35" s="66">
        <v>144</v>
      </c>
      <c r="D35" s="66">
        <v>1404</v>
      </c>
      <c r="E35" s="41">
        <v>10</v>
      </c>
      <c r="F35" s="68">
        <v>9950000</v>
      </c>
      <c r="G35" s="68">
        <v>0</v>
      </c>
      <c r="H35" s="68">
        <v>0</v>
      </c>
      <c r="I35" s="58">
        <v>0</v>
      </c>
      <c r="J35" s="58">
        <v>0</v>
      </c>
      <c r="K35" s="58">
        <v>0</v>
      </c>
    </row>
    <row r="36" spans="1:11" x14ac:dyDescent="0.25">
      <c r="A36" s="75">
        <v>4731</v>
      </c>
      <c r="B36" s="66" t="s">
        <v>44</v>
      </c>
      <c r="C36" s="66">
        <v>22</v>
      </c>
      <c r="D36" s="66">
        <v>1404</v>
      </c>
      <c r="E36" s="41">
        <v>10</v>
      </c>
      <c r="F36" s="68">
        <v>0</v>
      </c>
      <c r="G36" s="68">
        <v>5000000</v>
      </c>
      <c r="H36" s="68">
        <v>0</v>
      </c>
      <c r="I36" s="58">
        <v>0</v>
      </c>
      <c r="J36" s="58">
        <v>0</v>
      </c>
      <c r="K36" s="58">
        <v>0</v>
      </c>
    </row>
    <row r="37" spans="1:11" x14ac:dyDescent="0.25">
      <c r="A37" s="75">
        <v>4735</v>
      </c>
      <c r="B37" s="66" t="s">
        <v>45</v>
      </c>
      <c r="C37" s="66">
        <v>141</v>
      </c>
      <c r="D37" s="66">
        <v>1404</v>
      </c>
      <c r="E37" s="41">
        <v>10</v>
      </c>
      <c r="F37" s="68">
        <v>49750000</v>
      </c>
      <c r="G37" s="68">
        <v>0</v>
      </c>
      <c r="H37" s="68">
        <v>0</v>
      </c>
      <c r="I37" s="58">
        <v>5400000</v>
      </c>
      <c r="J37" s="58">
        <v>0</v>
      </c>
      <c r="K37" s="58">
        <v>0</v>
      </c>
    </row>
    <row r="38" spans="1:11" x14ac:dyDescent="0.25">
      <c r="A38" s="75">
        <v>5616</v>
      </c>
      <c r="B38" s="66" t="s">
        <v>46</v>
      </c>
      <c r="C38" s="66">
        <v>40</v>
      </c>
      <c r="D38" s="66">
        <v>1404</v>
      </c>
      <c r="E38" s="41">
        <v>10</v>
      </c>
      <c r="F38" s="68">
        <v>49750000</v>
      </c>
      <c r="G38" s="68">
        <v>0</v>
      </c>
      <c r="H38" s="68">
        <v>0</v>
      </c>
      <c r="I38" s="58">
        <v>7100000</v>
      </c>
      <c r="J38" s="58">
        <v>0</v>
      </c>
      <c r="K38" s="58">
        <v>0</v>
      </c>
    </row>
    <row r="39" spans="1:11" x14ac:dyDescent="0.25">
      <c r="A39" s="75">
        <v>5624</v>
      </c>
      <c r="B39" s="66" t="s">
        <v>49</v>
      </c>
      <c r="C39" s="66">
        <v>109</v>
      </c>
      <c r="D39" s="66">
        <v>1404</v>
      </c>
      <c r="E39" s="41">
        <v>10</v>
      </c>
      <c r="F39" s="68">
        <v>19900000</v>
      </c>
      <c r="G39" s="68">
        <v>0</v>
      </c>
      <c r="H39" s="68">
        <v>0</v>
      </c>
      <c r="I39" s="58">
        <v>10500000</v>
      </c>
      <c r="J39" s="58">
        <v>21003800</v>
      </c>
      <c r="K39" s="58">
        <v>0</v>
      </c>
    </row>
    <row r="40" spans="1:11" x14ac:dyDescent="0.25">
      <c r="A40" s="75">
        <v>5626</v>
      </c>
      <c r="B40" s="66" t="s">
        <v>50</v>
      </c>
      <c r="C40" s="66">
        <v>37</v>
      </c>
      <c r="D40" s="66">
        <v>1404</v>
      </c>
      <c r="E40" s="41">
        <v>10</v>
      </c>
      <c r="F40" s="68">
        <v>19900000</v>
      </c>
      <c r="G40" s="68">
        <v>0</v>
      </c>
      <c r="H40" s="68">
        <v>0</v>
      </c>
      <c r="I40" s="58">
        <v>0</v>
      </c>
      <c r="J40" s="58">
        <v>0</v>
      </c>
      <c r="K40" s="58">
        <v>0</v>
      </c>
    </row>
    <row r="41" spans="1:11" x14ac:dyDescent="0.25">
      <c r="A41" s="75">
        <v>5627</v>
      </c>
      <c r="B41" s="66" t="s">
        <v>51</v>
      </c>
      <c r="C41" s="66">
        <v>101</v>
      </c>
      <c r="D41" s="66">
        <v>1404</v>
      </c>
      <c r="E41" s="41">
        <v>10</v>
      </c>
      <c r="F41" s="68">
        <v>29850000</v>
      </c>
      <c r="G41" s="68">
        <v>0</v>
      </c>
      <c r="H41" s="68">
        <v>0</v>
      </c>
      <c r="I41" s="58">
        <v>3000000</v>
      </c>
      <c r="J41" s="58">
        <v>0</v>
      </c>
      <c r="K41" s="58">
        <v>0</v>
      </c>
    </row>
    <row r="42" spans="1:11" x14ac:dyDescent="0.25">
      <c r="A42" s="75">
        <v>5628</v>
      </c>
      <c r="B42" s="66" t="s">
        <v>52</v>
      </c>
      <c r="C42" s="66">
        <v>123</v>
      </c>
      <c r="D42" s="66">
        <v>1404</v>
      </c>
      <c r="E42" s="41">
        <v>10</v>
      </c>
      <c r="F42" s="68">
        <v>19900000</v>
      </c>
      <c r="G42" s="68">
        <v>0</v>
      </c>
      <c r="H42" s="68">
        <v>0</v>
      </c>
      <c r="I42" s="58">
        <v>5400000</v>
      </c>
      <c r="J42" s="58">
        <v>0</v>
      </c>
      <c r="K42" s="58">
        <v>0</v>
      </c>
    </row>
    <row r="43" spans="1:11" x14ac:dyDescent="0.25">
      <c r="A43" s="75">
        <v>5629</v>
      </c>
      <c r="B43" s="66" t="s">
        <v>53</v>
      </c>
      <c r="C43" s="66">
        <v>46</v>
      </c>
      <c r="D43" s="66">
        <v>1404</v>
      </c>
      <c r="E43" s="41">
        <v>10</v>
      </c>
      <c r="F43" s="68">
        <v>19900000</v>
      </c>
      <c r="G43" s="68">
        <v>50000000</v>
      </c>
      <c r="H43" s="68">
        <v>0</v>
      </c>
      <c r="I43" s="58">
        <v>10500000</v>
      </c>
      <c r="J43" s="58">
        <v>0</v>
      </c>
      <c r="K43" s="58">
        <v>0</v>
      </c>
    </row>
    <row r="44" spans="1:11" x14ac:dyDescent="0.25">
      <c r="A44" s="75">
        <v>5642</v>
      </c>
      <c r="B44" s="66" t="s">
        <v>60</v>
      </c>
      <c r="C44" s="66">
        <v>137</v>
      </c>
      <c r="D44" s="66">
        <v>1404</v>
      </c>
      <c r="E44" s="41">
        <v>10</v>
      </c>
      <c r="F44" s="68">
        <v>0</v>
      </c>
      <c r="G44" s="68">
        <v>40000000</v>
      </c>
      <c r="H44" s="68">
        <v>0</v>
      </c>
      <c r="I44" s="58">
        <v>5400000</v>
      </c>
      <c r="J44" s="58">
        <v>0</v>
      </c>
      <c r="K44" s="58">
        <v>0</v>
      </c>
    </row>
    <row r="45" spans="1:11" x14ac:dyDescent="0.25">
      <c r="A45" s="75">
        <v>5650</v>
      </c>
      <c r="B45" s="66" t="s">
        <v>61</v>
      </c>
      <c r="C45" s="66">
        <v>5</v>
      </c>
      <c r="D45" s="66">
        <v>1404</v>
      </c>
      <c r="E45" s="41">
        <v>10</v>
      </c>
      <c r="F45" s="68">
        <v>0</v>
      </c>
      <c r="G45" s="68">
        <v>100000000</v>
      </c>
      <c r="H45" s="68">
        <v>0</v>
      </c>
      <c r="I45" s="58">
        <v>1500000</v>
      </c>
      <c r="J45" s="58">
        <v>0</v>
      </c>
      <c r="K45" s="58">
        <v>0</v>
      </c>
    </row>
    <row r="46" spans="1:11" x14ac:dyDescent="0.25">
      <c r="A46" s="75">
        <v>5653</v>
      </c>
      <c r="B46" s="66" t="s">
        <v>210</v>
      </c>
      <c r="C46" s="66">
        <v>464</v>
      </c>
      <c r="D46" s="66">
        <v>1404</v>
      </c>
      <c r="E46" s="41">
        <v>10</v>
      </c>
      <c r="F46" s="68">
        <v>0</v>
      </c>
      <c r="G46" s="68">
        <v>30000000</v>
      </c>
      <c r="H46" s="68">
        <v>0</v>
      </c>
      <c r="I46" s="58">
        <v>8900000</v>
      </c>
      <c r="J46" s="58">
        <v>0</v>
      </c>
      <c r="K46" s="58">
        <v>0</v>
      </c>
    </row>
    <row r="47" spans="1:11" x14ac:dyDescent="0.25">
      <c r="A47" s="75">
        <v>5655</v>
      </c>
      <c r="B47" s="66" t="s">
        <v>63</v>
      </c>
      <c r="C47" s="66">
        <v>130</v>
      </c>
      <c r="D47" s="66">
        <v>1404</v>
      </c>
      <c r="E47" s="41">
        <v>10</v>
      </c>
      <c r="F47" s="68">
        <v>29850000</v>
      </c>
      <c r="G47" s="68">
        <v>40000000</v>
      </c>
      <c r="H47" s="68">
        <v>0</v>
      </c>
      <c r="I47" s="58">
        <v>0</v>
      </c>
      <c r="J47" s="58">
        <v>0</v>
      </c>
      <c r="K47" s="58">
        <v>0</v>
      </c>
    </row>
    <row r="48" spans="1:11" x14ac:dyDescent="0.25">
      <c r="A48" s="75">
        <v>5663</v>
      </c>
      <c r="B48" s="66" t="s">
        <v>284</v>
      </c>
      <c r="C48" s="66">
        <v>524</v>
      </c>
      <c r="D48" s="66">
        <v>1404</v>
      </c>
      <c r="E48" s="41">
        <v>10</v>
      </c>
      <c r="F48" s="68">
        <v>0</v>
      </c>
      <c r="G48" s="68">
        <v>47700000</v>
      </c>
      <c r="H48" s="68">
        <v>0</v>
      </c>
      <c r="I48" s="58">
        <v>5400000</v>
      </c>
      <c r="J48" s="58">
        <v>0</v>
      </c>
      <c r="K48" s="58">
        <v>0</v>
      </c>
    </row>
    <row r="49" spans="1:11" x14ac:dyDescent="0.25">
      <c r="A49" s="75">
        <v>5666</v>
      </c>
      <c r="B49" s="66" t="s">
        <v>64</v>
      </c>
      <c r="C49" s="66">
        <v>12</v>
      </c>
      <c r="D49" s="66">
        <v>1404</v>
      </c>
      <c r="E49" s="41">
        <v>10</v>
      </c>
      <c r="F49" s="68">
        <v>0</v>
      </c>
      <c r="G49" s="68">
        <v>135740520</v>
      </c>
      <c r="H49" s="68">
        <v>0</v>
      </c>
      <c r="I49" s="58">
        <v>3900000</v>
      </c>
      <c r="J49" s="58">
        <v>0</v>
      </c>
      <c r="K49" s="58">
        <v>0</v>
      </c>
    </row>
    <row r="50" spans="1:11" x14ac:dyDescent="0.25">
      <c r="A50" s="75">
        <v>5671</v>
      </c>
      <c r="B50" s="66" t="s">
        <v>65</v>
      </c>
      <c r="C50" s="66">
        <v>128</v>
      </c>
      <c r="D50" s="66">
        <v>1404</v>
      </c>
      <c r="E50" s="41">
        <v>10</v>
      </c>
      <c r="F50" s="68">
        <v>0</v>
      </c>
      <c r="G50" s="68">
        <v>0</v>
      </c>
      <c r="H50" s="68">
        <v>0</v>
      </c>
      <c r="I50" s="58">
        <v>5400000</v>
      </c>
      <c r="J50" s="58">
        <v>0</v>
      </c>
      <c r="K50" s="58">
        <v>0</v>
      </c>
    </row>
    <row r="51" spans="1:11" x14ac:dyDescent="0.25">
      <c r="A51" s="75">
        <v>5685</v>
      </c>
      <c r="B51" s="66" t="s">
        <v>67</v>
      </c>
      <c r="C51" s="66">
        <v>142</v>
      </c>
      <c r="D51" s="66">
        <v>1404</v>
      </c>
      <c r="E51" s="41">
        <v>10</v>
      </c>
      <c r="F51" s="68">
        <v>29850000</v>
      </c>
      <c r="G51" s="68">
        <v>0</v>
      </c>
      <c r="H51" s="68">
        <v>0</v>
      </c>
      <c r="I51" s="58">
        <v>0</v>
      </c>
      <c r="J51" s="58">
        <v>0</v>
      </c>
      <c r="K51" s="58">
        <v>0</v>
      </c>
    </row>
    <row r="52" spans="1:11" x14ac:dyDescent="0.25">
      <c r="A52" s="75">
        <v>5699</v>
      </c>
      <c r="B52" s="66" t="s">
        <v>68</v>
      </c>
      <c r="C52" s="66">
        <v>159</v>
      </c>
      <c r="D52" s="66">
        <v>1404</v>
      </c>
      <c r="E52" s="41">
        <v>10</v>
      </c>
      <c r="F52" s="68">
        <v>49750000</v>
      </c>
      <c r="G52" s="68">
        <v>0</v>
      </c>
      <c r="H52" s="68">
        <v>0</v>
      </c>
      <c r="I52" s="58">
        <v>5400000</v>
      </c>
      <c r="J52" s="58">
        <v>0</v>
      </c>
      <c r="K52" s="58">
        <v>0</v>
      </c>
    </row>
    <row r="53" spans="1:11" x14ac:dyDescent="0.25">
      <c r="A53" s="75">
        <v>5708</v>
      </c>
      <c r="B53" s="66" t="s">
        <v>72</v>
      </c>
      <c r="C53" s="66">
        <v>50</v>
      </c>
      <c r="D53" s="66">
        <v>1404</v>
      </c>
      <c r="E53" s="41">
        <v>10</v>
      </c>
      <c r="F53" s="68">
        <v>29850000</v>
      </c>
      <c r="G53" s="68">
        <v>0</v>
      </c>
      <c r="H53" s="68">
        <v>0</v>
      </c>
      <c r="I53" s="58">
        <v>0</v>
      </c>
      <c r="J53" s="58">
        <v>0</v>
      </c>
      <c r="K53" s="58">
        <v>0</v>
      </c>
    </row>
    <row r="54" spans="1:11" x14ac:dyDescent="0.25">
      <c r="A54" s="75">
        <v>5710</v>
      </c>
      <c r="B54" s="66" t="s">
        <v>73</v>
      </c>
      <c r="C54" s="66">
        <v>74</v>
      </c>
      <c r="D54" s="66">
        <v>1404</v>
      </c>
      <c r="E54" s="41">
        <v>10</v>
      </c>
      <c r="F54" s="68">
        <v>29850000</v>
      </c>
      <c r="G54" s="68">
        <v>30000000</v>
      </c>
      <c r="H54" s="68">
        <v>0</v>
      </c>
      <c r="I54" s="58">
        <v>0</v>
      </c>
      <c r="J54" s="58">
        <v>0</v>
      </c>
      <c r="K54" s="58">
        <v>0</v>
      </c>
    </row>
    <row r="55" spans="1:11" x14ac:dyDescent="0.25">
      <c r="A55" s="75">
        <v>5727</v>
      </c>
      <c r="B55" s="66" t="s">
        <v>76</v>
      </c>
      <c r="C55" s="66">
        <v>47</v>
      </c>
      <c r="D55" s="66">
        <v>1404</v>
      </c>
      <c r="E55" s="41">
        <v>10</v>
      </c>
      <c r="F55" s="68">
        <v>59700000</v>
      </c>
      <c r="G55" s="68">
        <v>50000000</v>
      </c>
      <c r="H55" s="68">
        <v>0</v>
      </c>
      <c r="I55" s="58">
        <v>0</v>
      </c>
      <c r="J55" s="58">
        <v>0</v>
      </c>
      <c r="K55" s="58">
        <v>0</v>
      </c>
    </row>
    <row r="56" spans="1:11" x14ac:dyDescent="0.25">
      <c r="A56" s="75">
        <v>5734</v>
      </c>
      <c r="B56" s="66" t="s">
        <v>77</v>
      </c>
      <c r="C56" s="66">
        <v>98</v>
      </c>
      <c r="D56" s="66">
        <v>1404</v>
      </c>
      <c r="E56" s="41">
        <v>10</v>
      </c>
      <c r="F56" s="68">
        <v>19900000</v>
      </c>
      <c r="G56" s="68">
        <v>40000000</v>
      </c>
      <c r="H56" s="68">
        <v>0</v>
      </c>
      <c r="I56" s="58">
        <v>0</v>
      </c>
      <c r="J56" s="58">
        <v>0</v>
      </c>
      <c r="K56" s="58">
        <v>0</v>
      </c>
    </row>
    <row r="57" spans="1:11" x14ac:dyDescent="0.25">
      <c r="A57" s="75">
        <v>5744</v>
      </c>
      <c r="B57" s="66" t="s">
        <v>78</v>
      </c>
      <c r="C57" s="66">
        <v>3</v>
      </c>
      <c r="D57" s="66">
        <v>1404</v>
      </c>
      <c r="E57" s="41">
        <v>10</v>
      </c>
      <c r="F57" s="68">
        <v>39800000</v>
      </c>
      <c r="G57" s="68">
        <v>117718500</v>
      </c>
      <c r="H57" s="68">
        <v>0</v>
      </c>
      <c r="I57" s="58">
        <v>1500000</v>
      </c>
      <c r="J57" s="58">
        <v>0</v>
      </c>
      <c r="K57" s="58">
        <v>0</v>
      </c>
    </row>
    <row r="58" spans="1:11" x14ac:dyDescent="0.25">
      <c r="A58" s="75">
        <v>5749</v>
      </c>
      <c r="B58" s="66" t="s">
        <v>79</v>
      </c>
      <c r="C58" s="66">
        <v>126</v>
      </c>
      <c r="D58" s="66">
        <v>1404</v>
      </c>
      <c r="E58" s="41">
        <v>10</v>
      </c>
      <c r="F58" s="68">
        <v>0</v>
      </c>
      <c r="G58" s="68">
        <v>100000000</v>
      </c>
      <c r="H58" s="68">
        <v>0</v>
      </c>
      <c r="I58" s="58">
        <v>0</v>
      </c>
      <c r="J58" s="58">
        <v>0</v>
      </c>
      <c r="K58" s="58">
        <v>0</v>
      </c>
    </row>
    <row r="59" spans="1:11" x14ac:dyDescent="0.25">
      <c r="A59" s="75">
        <v>5765</v>
      </c>
      <c r="B59" s="66" t="s">
        <v>80</v>
      </c>
      <c r="C59" s="66">
        <v>51</v>
      </c>
      <c r="D59" s="66">
        <v>1404</v>
      </c>
      <c r="E59" s="41">
        <v>10</v>
      </c>
      <c r="F59" s="68">
        <v>29850000</v>
      </c>
      <c r="G59" s="68">
        <v>0</v>
      </c>
      <c r="H59" s="68">
        <v>0</v>
      </c>
      <c r="I59" s="58">
        <v>0</v>
      </c>
      <c r="J59" s="58">
        <v>0</v>
      </c>
      <c r="K59" s="58">
        <v>0</v>
      </c>
    </row>
    <row r="60" spans="1:11" x14ac:dyDescent="0.25">
      <c r="A60" s="75">
        <v>5766</v>
      </c>
      <c r="B60" s="66" t="s">
        <v>81</v>
      </c>
      <c r="C60" s="66">
        <v>135</v>
      </c>
      <c r="D60" s="66">
        <v>1404</v>
      </c>
      <c r="E60" s="41">
        <v>10</v>
      </c>
      <c r="F60" s="68">
        <v>29850000</v>
      </c>
      <c r="G60" s="68">
        <v>0</v>
      </c>
      <c r="H60" s="68">
        <v>0</v>
      </c>
      <c r="I60" s="58">
        <v>0</v>
      </c>
      <c r="J60" s="58">
        <v>0</v>
      </c>
      <c r="K60" s="58">
        <v>0</v>
      </c>
    </row>
    <row r="61" spans="1:11" x14ac:dyDescent="0.25">
      <c r="A61" s="75">
        <v>5771</v>
      </c>
      <c r="B61" s="66" t="s">
        <v>82</v>
      </c>
      <c r="C61" s="66">
        <v>77</v>
      </c>
      <c r="D61" s="66">
        <v>1404</v>
      </c>
      <c r="E61" s="41">
        <v>10</v>
      </c>
      <c r="F61" s="68">
        <v>19900000</v>
      </c>
      <c r="G61" s="68">
        <v>30000000</v>
      </c>
      <c r="H61" s="68">
        <v>0</v>
      </c>
      <c r="I61" s="58">
        <v>5100000</v>
      </c>
      <c r="J61" s="58">
        <v>0</v>
      </c>
      <c r="K61" s="58">
        <v>0</v>
      </c>
    </row>
    <row r="62" spans="1:11" x14ac:dyDescent="0.25">
      <c r="A62" s="75">
        <v>5778</v>
      </c>
      <c r="B62" s="66" t="s">
        <v>83</v>
      </c>
      <c r="C62" s="66">
        <v>55</v>
      </c>
      <c r="D62" s="66">
        <v>1404</v>
      </c>
      <c r="E62" s="41">
        <v>10</v>
      </c>
      <c r="F62" s="68">
        <v>0</v>
      </c>
      <c r="G62" s="68">
        <v>0</v>
      </c>
      <c r="H62" s="68">
        <v>0</v>
      </c>
      <c r="I62" s="58">
        <v>300000</v>
      </c>
      <c r="J62" s="58">
        <v>0</v>
      </c>
      <c r="K62" s="58">
        <v>0</v>
      </c>
    </row>
    <row r="63" spans="1:11" x14ac:dyDescent="0.25">
      <c r="A63" s="75">
        <v>5783</v>
      </c>
      <c r="B63" s="66" t="s">
        <v>84</v>
      </c>
      <c r="C63" s="66">
        <v>79</v>
      </c>
      <c r="D63" s="66">
        <v>1404</v>
      </c>
      <c r="E63" s="41">
        <v>10</v>
      </c>
      <c r="F63" s="68">
        <v>39800000</v>
      </c>
      <c r="G63" s="68">
        <v>20000000</v>
      </c>
      <c r="H63" s="68">
        <v>0</v>
      </c>
      <c r="I63" s="58">
        <v>4500000</v>
      </c>
      <c r="J63" s="58">
        <v>0</v>
      </c>
      <c r="K63" s="58">
        <v>0</v>
      </c>
    </row>
    <row r="64" spans="1:11" x14ac:dyDescent="0.25">
      <c r="A64" s="75">
        <v>5784</v>
      </c>
      <c r="B64" s="66" t="s">
        <v>85</v>
      </c>
      <c r="C64" s="66">
        <v>148</v>
      </c>
      <c r="D64" s="66">
        <v>1404</v>
      </c>
      <c r="E64" s="41">
        <v>10</v>
      </c>
      <c r="F64" s="68">
        <v>9950000</v>
      </c>
      <c r="G64" s="68">
        <v>20000000</v>
      </c>
      <c r="H64" s="68">
        <v>0</v>
      </c>
      <c r="I64" s="58">
        <v>0</v>
      </c>
      <c r="J64" s="58">
        <v>0</v>
      </c>
      <c r="K64" s="58">
        <v>0</v>
      </c>
    </row>
    <row r="65" spans="1:11" x14ac:dyDescent="0.25">
      <c r="A65" s="75">
        <v>5791</v>
      </c>
      <c r="B65" s="66" t="s">
        <v>86</v>
      </c>
      <c r="C65" s="66">
        <v>150</v>
      </c>
      <c r="D65" s="66">
        <v>1404</v>
      </c>
      <c r="E65" s="41">
        <v>10</v>
      </c>
      <c r="F65" s="68">
        <v>9950000</v>
      </c>
      <c r="G65" s="68">
        <v>0</v>
      </c>
      <c r="H65" s="68">
        <v>0</v>
      </c>
      <c r="I65" s="58">
        <v>7100000</v>
      </c>
      <c r="J65" s="58">
        <v>0</v>
      </c>
      <c r="K65" s="58">
        <v>0</v>
      </c>
    </row>
    <row r="66" spans="1:11" x14ac:dyDescent="0.25">
      <c r="A66" s="75">
        <v>5793</v>
      </c>
      <c r="B66" s="66" t="s">
        <v>87</v>
      </c>
      <c r="C66" s="66">
        <v>43</v>
      </c>
      <c r="D66" s="66">
        <v>1404</v>
      </c>
      <c r="E66" s="41">
        <v>10</v>
      </c>
      <c r="F66" s="68">
        <v>0</v>
      </c>
      <c r="G66" s="68">
        <v>71350000</v>
      </c>
      <c r="H66" s="68">
        <v>0</v>
      </c>
      <c r="I66" s="58">
        <v>22000000</v>
      </c>
      <c r="J66" s="58">
        <v>0</v>
      </c>
      <c r="K66" s="58">
        <v>0</v>
      </c>
    </row>
    <row r="67" spans="1:11" x14ac:dyDescent="0.25">
      <c r="A67" s="75">
        <v>5799</v>
      </c>
      <c r="B67" s="66" t="s">
        <v>90</v>
      </c>
      <c r="C67" s="66">
        <v>224</v>
      </c>
      <c r="D67" s="66">
        <v>1404</v>
      </c>
      <c r="E67" s="41">
        <v>10</v>
      </c>
      <c r="F67" s="68">
        <v>0</v>
      </c>
      <c r="G67" s="68">
        <v>30000000</v>
      </c>
      <c r="H67" s="68">
        <v>0</v>
      </c>
      <c r="I67" s="58">
        <v>5900000</v>
      </c>
      <c r="J67" s="58">
        <v>0</v>
      </c>
      <c r="K67" s="58">
        <v>0</v>
      </c>
    </row>
    <row r="68" spans="1:11" x14ac:dyDescent="0.25">
      <c r="A68" s="75">
        <v>5816</v>
      </c>
      <c r="B68" s="66" t="s">
        <v>92</v>
      </c>
      <c r="C68" s="66">
        <v>86</v>
      </c>
      <c r="D68" s="66">
        <v>1404</v>
      </c>
      <c r="E68" s="41">
        <v>10</v>
      </c>
      <c r="F68" s="68">
        <v>0</v>
      </c>
      <c r="G68" s="68">
        <v>0</v>
      </c>
      <c r="H68" s="68">
        <v>0</v>
      </c>
      <c r="I68" s="58">
        <v>1375000</v>
      </c>
      <c r="J68" s="58">
        <v>0</v>
      </c>
      <c r="K68" s="58">
        <v>0</v>
      </c>
    </row>
    <row r="69" spans="1:11" x14ac:dyDescent="0.25">
      <c r="A69" s="75">
        <v>5824</v>
      </c>
      <c r="B69" s="66" t="s">
        <v>94</v>
      </c>
      <c r="C69" s="66">
        <v>41</v>
      </c>
      <c r="D69" s="66">
        <v>1404</v>
      </c>
      <c r="E69" s="41">
        <v>10</v>
      </c>
      <c r="F69" s="68">
        <v>0</v>
      </c>
      <c r="G69" s="68">
        <v>1100000</v>
      </c>
      <c r="H69" s="68">
        <v>0</v>
      </c>
      <c r="I69" s="58">
        <v>6500000</v>
      </c>
      <c r="J69" s="58">
        <v>24504975</v>
      </c>
      <c r="K69" s="58">
        <v>0</v>
      </c>
    </row>
    <row r="70" spans="1:11" x14ac:dyDescent="0.25">
      <c r="A70" s="75">
        <v>5827</v>
      </c>
      <c r="B70" s="66" t="s">
        <v>95</v>
      </c>
      <c r="C70" s="66">
        <v>53</v>
      </c>
      <c r="D70" s="66">
        <v>1404</v>
      </c>
      <c r="E70" s="41">
        <v>10</v>
      </c>
      <c r="F70" s="68">
        <v>0</v>
      </c>
      <c r="G70" s="68">
        <v>90000000</v>
      </c>
      <c r="H70" s="68">
        <v>0</v>
      </c>
      <c r="I70" s="58">
        <v>6800000</v>
      </c>
      <c r="J70" s="58">
        <v>0</v>
      </c>
      <c r="K70" s="58">
        <v>57750000</v>
      </c>
    </row>
    <row r="71" spans="1:11" x14ac:dyDescent="0.25">
      <c r="A71" s="75">
        <v>5829</v>
      </c>
      <c r="B71" s="66" t="s">
        <v>96</v>
      </c>
      <c r="C71" s="66">
        <v>56</v>
      </c>
      <c r="D71" s="66">
        <v>1404</v>
      </c>
      <c r="E71" s="41">
        <v>10</v>
      </c>
      <c r="F71" s="68">
        <v>0</v>
      </c>
      <c r="G71" s="68">
        <v>0</v>
      </c>
      <c r="H71" s="68">
        <v>0</v>
      </c>
      <c r="I71" s="58">
        <v>4800000</v>
      </c>
      <c r="J71" s="58">
        <v>0</v>
      </c>
      <c r="K71" s="58">
        <v>0</v>
      </c>
    </row>
    <row r="72" spans="1:11" x14ac:dyDescent="0.25">
      <c r="A72" s="75">
        <v>5833</v>
      </c>
      <c r="B72" s="66" t="s">
        <v>98</v>
      </c>
      <c r="C72" s="66">
        <v>125</v>
      </c>
      <c r="D72" s="66">
        <v>1404</v>
      </c>
      <c r="E72" s="41">
        <v>10</v>
      </c>
      <c r="F72" s="68">
        <v>0</v>
      </c>
      <c r="G72" s="68">
        <v>0</v>
      </c>
      <c r="H72" s="68">
        <v>0</v>
      </c>
      <c r="I72" s="58">
        <v>2100000</v>
      </c>
      <c r="J72" s="58">
        <v>0</v>
      </c>
      <c r="K72" s="58">
        <v>0</v>
      </c>
    </row>
    <row r="73" spans="1:11" x14ac:dyDescent="0.25">
      <c r="A73" s="75">
        <v>5837</v>
      </c>
      <c r="B73" s="66" t="s">
        <v>100</v>
      </c>
      <c r="C73" s="66">
        <v>75</v>
      </c>
      <c r="D73" s="66">
        <v>1404</v>
      </c>
      <c r="E73" s="41">
        <v>10</v>
      </c>
      <c r="F73" s="68">
        <v>9950000</v>
      </c>
      <c r="G73" s="68">
        <v>0</v>
      </c>
      <c r="H73" s="68">
        <v>0</v>
      </c>
      <c r="I73" s="58">
        <v>8200000</v>
      </c>
      <c r="J73" s="58">
        <v>0</v>
      </c>
      <c r="K73" s="58">
        <v>0</v>
      </c>
    </row>
    <row r="74" spans="1:11" x14ac:dyDescent="0.25">
      <c r="A74" s="75">
        <v>5842</v>
      </c>
      <c r="B74" s="66" t="s">
        <v>101</v>
      </c>
      <c r="C74" s="66">
        <v>147</v>
      </c>
      <c r="D74" s="66">
        <v>1404</v>
      </c>
      <c r="E74" s="41">
        <v>10</v>
      </c>
      <c r="F74" s="68">
        <v>29850000</v>
      </c>
      <c r="G74" s="68">
        <v>0</v>
      </c>
      <c r="H74" s="68">
        <v>0</v>
      </c>
      <c r="I74" s="58">
        <v>0</v>
      </c>
      <c r="J74" s="58">
        <v>0</v>
      </c>
      <c r="K74" s="58">
        <v>0</v>
      </c>
    </row>
    <row r="75" spans="1:11" x14ac:dyDescent="0.25">
      <c r="A75" s="75">
        <v>5843</v>
      </c>
      <c r="B75" s="66" t="s">
        <v>102</v>
      </c>
      <c r="C75" s="66">
        <v>76</v>
      </c>
      <c r="D75" s="66">
        <v>1404</v>
      </c>
      <c r="E75" s="41">
        <v>10</v>
      </c>
      <c r="F75" s="68">
        <v>19900000</v>
      </c>
      <c r="G75" s="68">
        <v>0</v>
      </c>
      <c r="H75" s="68">
        <v>0</v>
      </c>
      <c r="I75" s="58">
        <v>5400000</v>
      </c>
      <c r="J75" s="58">
        <v>0</v>
      </c>
      <c r="K75" s="58">
        <v>0</v>
      </c>
    </row>
    <row r="76" spans="1:11" x14ac:dyDescent="0.25">
      <c r="A76" s="75">
        <v>5847</v>
      </c>
      <c r="B76" s="66" t="s">
        <v>103</v>
      </c>
      <c r="C76" s="66">
        <v>93</v>
      </c>
      <c r="D76" s="66">
        <v>1404</v>
      </c>
      <c r="E76" s="41">
        <v>10</v>
      </c>
      <c r="F76" s="68">
        <v>49750000</v>
      </c>
      <c r="G76" s="68">
        <v>0</v>
      </c>
      <c r="H76" s="68">
        <v>0</v>
      </c>
      <c r="I76" s="58">
        <v>3600000</v>
      </c>
      <c r="J76" s="58">
        <v>0</v>
      </c>
      <c r="K76" s="58">
        <v>0</v>
      </c>
    </row>
    <row r="77" spans="1:11" x14ac:dyDescent="0.25">
      <c r="A77" s="75">
        <v>5857</v>
      </c>
      <c r="B77" s="66" t="s">
        <v>106</v>
      </c>
      <c r="C77" s="66">
        <v>48</v>
      </c>
      <c r="D77" s="66">
        <v>1404</v>
      </c>
      <c r="E77" s="41">
        <v>10</v>
      </c>
      <c r="F77" s="68">
        <v>9950000</v>
      </c>
      <c r="G77" s="68">
        <v>70000000</v>
      </c>
      <c r="H77" s="68">
        <v>0</v>
      </c>
      <c r="I77" s="58">
        <v>2400000</v>
      </c>
      <c r="J77" s="58">
        <v>0</v>
      </c>
      <c r="K77" s="58">
        <v>0</v>
      </c>
    </row>
    <row r="78" spans="1:11" x14ac:dyDescent="0.25">
      <c r="A78" s="75">
        <v>5863</v>
      </c>
      <c r="B78" s="66" t="s">
        <v>107</v>
      </c>
      <c r="C78" s="66">
        <v>2</v>
      </c>
      <c r="D78" s="66">
        <v>1404</v>
      </c>
      <c r="E78" s="41">
        <v>10</v>
      </c>
      <c r="F78" s="68">
        <v>39800000</v>
      </c>
      <c r="G78" s="68">
        <v>194702857</v>
      </c>
      <c r="H78" s="68">
        <v>0</v>
      </c>
      <c r="I78" s="58">
        <v>0</v>
      </c>
      <c r="J78" s="58">
        <v>0</v>
      </c>
      <c r="K78" s="58">
        <v>0</v>
      </c>
    </row>
    <row r="79" spans="1:11" x14ac:dyDescent="0.25">
      <c r="A79" s="75">
        <v>5867</v>
      </c>
      <c r="B79" s="66" t="s">
        <v>108</v>
      </c>
      <c r="C79" s="66">
        <v>78</v>
      </c>
      <c r="D79" s="66">
        <v>1404</v>
      </c>
      <c r="E79" s="41">
        <v>10</v>
      </c>
      <c r="F79" s="68">
        <v>9950000</v>
      </c>
      <c r="G79" s="68">
        <v>0</v>
      </c>
      <c r="H79" s="68">
        <v>0</v>
      </c>
      <c r="I79" s="58">
        <v>6500000</v>
      </c>
      <c r="J79" s="58">
        <v>0</v>
      </c>
      <c r="K79" s="58">
        <v>0</v>
      </c>
    </row>
    <row r="80" spans="1:11" x14ac:dyDescent="0.25">
      <c r="A80" s="75">
        <v>5870</v>
      </c>
      <c r="B80" s="66" t="s">
        <v>109</v>
      </c>
      <c r="C80" s="66">
        <v>199</v>
      </c>
      <c r="D80" s="66">
        <v>1404</v>
      </c>
      <c r="E80" s="41">
        <v>10</v>
      </c>
      <c r="F80" s="68">
        <v>9950000</v>
      </c>
      <c r="G80" s="68">
        <v>100000000</v>
      </c>
      <c r="H80" s="68">
        <v>0</v>
      </c>
      <c r="I80" s="58">
        <v>5400000</v>
      </c>
      <c r="J80" s="58">
        <v>61756700</v>
      </c>
      <c r="K80" s="58">
        <v>0</v>
      </c>
    </row>
    <row r="81" spans="1:11" x14ac:dyDescent="0.25">
      <c r="A81" s="75">
        <v>5876</v>
      </c>
      <c r="B81" s="66" t="s">
        <v>110</v>
      </c>
      <c r="C81" s="66">
        <v>127</v>
      </c>
      <c r="D81" s="66">
        <v>1404</v>
      </c>
      <c r="E81" s="41">
        <v>10</v>
      </c>
      <c r="F81" s="68">
        <v>0</v>
      </c>
      <c r="G81" s="68">
        <v>0</v>
      </c>
      <c r="H81" s="68">
        <v>0</v>
      </c>
      <c r="I81" s="58">
        <v>8800000</v>
      </c>
      <c r="J81" s="58">
        <v>0</v>
      </c>
      <c r="K81" s="58">
        <v>0</v>
      </c>
    </row>
    <row r="82" spans="1:11" x14ac:dyDescent="0.25">
      <c r="A82" s="75">
        <v>5883</v>
      </c>
      <c r="B82" s="66" t="s">
        <v>111</v>
      </c>
      <c r="C82" s="66">
        <v>6</v>
      </c>
      <c r="D82" s="66">
        <v>1404</v>
      </c>
      <c r="E82" s="41">
        <v>10</v>
      </c>
      <c r="F82" s="68">
        <v>59700000</v>
      </c>
      <c r="G82" s="68">
        <v>95434000</v>
      </c>
      <c r="H82" s="68">
        <v>21887016</v>
      </c>
      <c r="I82" s="58">
        <v>0</v>
      </c>
      <c r="J82" s="58">
        <v>0</v>
      </c>
      <c r="K82" s="58">
        <v>0</v>
      </c>
    </row>
    <row r="83" spans="1:11" x14ac:dyDescent="0.25">
      <c r="A83" s="75">
        <v>5885</v>
      </c>
      <c r="B83" s="66" t="s">
        <v>112</v>
      </c>
      <c r="C83" s="66">
        <v>161</v>
      </c>
      <c r="D83" s="66">
        <v>1404</v>
      </c>
      <c r="E83" s="41">
        <v>10</v>
      </c>
      <c r="F83" s="68">
        <v>19900000</v>
      </c>
      <c r="G83" s="68">
        <v>30000000</v>
      </c>
      <c r="H83" s="68">
        <v>0</v>
      </c>
      <c r="I83" s="58">
        <v>5600000</v>
      </c>
      <c r="J83" s="58">
        <v>0</v>
      </c>
      <c r="K83" s="58">
        <v>0</v>
      </c>
    </row>
    <row r="84" spans="1:11" x14ac:dyDescent="0.25">
      <c r="A84" s="75">
        <v>5886</v>
      </c>
      <c r="B84" s="66" t="s">
        <v>113</v>
      </c>
      <c r="C84" s="66">
        <v>166</v>
      </c>
      <c r="D84" s="66">
        <v>1404</v>
      </c>
      <c r="E84" s="41">
        <v>10</v>
      </c>
      <c r="F84" s="68">
        <v>9950000</v>
      </c>
      <c r="G84" s="68">
        <v>0</v>
      </c>
      <c r="H84" s="68">
        <v>0</v>
      </c>
      <c r="I84" s="58">
        <v>7000000</v>
      </c>
      <c r="J84" s="58">
        <v>0</v>
      </c>
      <c r="K84" s="58">
        <v>0</v>
      </c>
    </row>
    <row r="85" spans="1:11" x14ac:dyDescent="0.25">
      <c r="A85" s="75">
        <v>5887</v>
      </c>
      <c r="B85" s="66" t="s">
        <v>114</v>
      </c>
      <c r="C85" s="66">
        <v>167</v>
      </c>
      <c r="D85" s="66">
        <v>1404</v>
      </c>
      <c r="E85" s="41">
        <v>10</v>
      </c>
      <c r="F85" s="68">
        <v>9950000</v>
      </c>
      <c r="G85" s="68">
        <v>0</v>
      </c>
      <c r="H85" s="68">
        <v>0</v>
      </c>
      <c r="I85" s="58">
        <v>7100000</v>
      </c>
      <c r="J85" s="58">
        <v>0</v>
      </c>
      <c r="K85" s="58">
        <v>0</v>
      </c>
    </row>
    <row r="86" spans="1:11" x14ac:dyDescent="0.25">
      <c r="A86" s="75">
        <v>5890</v>
      </c>
      <c r="B86" s="66" t="s">
        <v>116</v>
      </c>
      <c r="C86" s="66">
        <v>15</v>
      </c>
      <c r="D86" s="66">
        <v>1404</v>
      </c>
      <c r="E86" s="41">
        <v>10</v>
      </c>
      <c r="F86" s="68">
        <v>49750000</v>
      </c>
      <c r="G86" s="68">
        <v>0</v>
      </c>
      <c r="H86" s="68">
        <v>0</v>
      </c>
      <c r="I86" s="58">
        <v>3000000</v>
      </c>
      <c r="J86" s="58">
        <v>0</v>
      </c>
      <c r="K86" s="58">
        <v>0</v>
      </c>
    </row>
    <row r="87" spans="1:11" x14ac:dyDescent="0.25">
      <c r="A87" s="75">
        <v>5898</v>
      </c>
      <c r="B87" s="66" t="s">
        <v>117</v>
      </c>
      <c r="C87" s="66">
        <v>29</v>
      </c>
      <c r="D87" s="66">
        <v>1404</v>
      </c>
      <c r="E87" s="41">
        <v>10</v>
      </c>
      <c r="F87" s="68">
        <v>39800000</v>
      </c>
      <c r="G87" s="68">
        <v>130000000</v>
      </c>
      <c r="H87" s="68">
        <v>0</v>
      </c>
      <c r="I87" s="58">
        <v>8800000</v>
      </c>
      <c r="J87" s="58">
        <v>0</v>
      </c>
      <c r="K87" s="58">
        <v>0</v>
      </c>
    </row>
    <row r="88" spans="1:11" x14ac:dyDescent="0.25">
      <c r="A88" s="75">
        <v>5900</v>
      </c>
      <c r="B88" s="66" t="s">
        <v>118</v>
      </c>
      <c r="C88" s="66">
        <v>42</v>
      </c>
      <c r="D88" s="66">
        <v>1404</v>
      </c>
      <c r="E88" s="41">
        <v>10</v>
      </c>
      <c r="F88" s="68">
        <v>9950000</v>
      </c>
      <c r="G88" s="68">
        <v>30000000</v>
      </c>
      <c r="H88" s="68">
        <v>0</v>
      </c>
      <c r="I88" s="58">
        <v>7100000</v>
      </c>
      <c r="J88" s="58">
        <v>0</v>
      </c>
      <c r="K88" s="58">
        <v>0</v>
      </c>
    </row>
    <row r="89" spans="1:11" x14ac:dyDescent="0.25">
      <c r="A89" s="75">
        <v>5905</v>
      </c>
      <c r="B89" s="66" t="s">
        <v>121</v>
      </c>
      <c r="C89" s="66">
        <v>498</v>
      </c>
      <c r="D89" s="66">
        <v>1404</v>
      </c>
      <c r="E89" s="41">
        <v>10</v>
      </c>
      <c r="F89" s="68">
        <v>0</v>
      </c>
      <c r="G89" s="68">
        <v>15786166</v>
      </c>
      <c r="H89" s="68">
        <v>0</v>
      </c>
      <c r="I89" s="58">
        <v>5400000</v>
      </c>
      <c r="J89" s="58">
        <v>0</v>
      </c>
      <c r="K89" s="58">
        <v>0</v>
      </c>
    </row>
    <row r="90" spans="1:11" x14ac:dyDescent="0.25">
      <c r="A90" s="75">
        <v>5906</v>
      </c>
      <c r="B90" s="66" t="s">
        <v>122</v>
      </c>
      <c r="C90" s="66">
        <v>17</v>
      </c>
      <c r="D90" s="66">
        <v>1404</v>
      </c>
      <c r="E90" s="41">
        <v>10</v>
      </c>
      <c r="F90" s="68">
        <v>0</v>
      </c>
      <c r="G90" s="68">
        <v>0</v>
      </c>
      <c r="H90" s="68">
        <v>0</v>
      </c>
      <c r="I90" s="58">
        <v>0</v>
      </c>
      <c r="J90" s="58">
        <v>204433333</v>
      </c>
      <c r="K90" s="58">
        <v>0</v>
      </c>
    </row>
    <row r="91" spans="1:11" x14ac:dyDescent="0.25">
      <c r="A91" s="75">
        <v>5907</v>
      </c>
      <c r="B91" s="66" t="s">
        <v>123</v>
      </c>
      <c r="C91" s="66">
        <v>16</v>
      </c>
      <c r="D91" s="66">
        <v>1404</v>
      </c>
      <c r="E91" s="41">
        <v>10</v>
      </c>
      <c r="F91" s="68">
        <v>29850000</v>
      </c>
      <c r="G91" s="68">
        <v>18348833</v>
      </c>
      <c r="H91" s="68">
        <v>0</v>
      </c>
      <c r="I91" s="58">
        <v>0</v>
      </c>
      <c r="J91" s="58">
        <v>0</v>
      </c>
      <c r="K91" s="58">
        <v>0</v>
      </c>
    </row>
    <row r="92" spans="1:11" x14ac:dyDescent="0.25">
      <c r="A92" s="75">
        <v>5908</v>
      </c>
      <c r="B92" s="66" t="s">
        <v>212</v>
      </c>
      <c r="C92" s="66">
        <v>156</v>
      </c>
      <c r="D92" s="66">
        <v>1404</v>
      </c>
      <c r="E92" s="41">
        <v>10</v>
      </c>
      <c r="F92" s="68">
        <v>0</v>
      </c>
      <c r="G92" s="68">
        <v>30000000</v>
      </c>
      <c r="H92" s="68">
        <v>0</v>
      </c>
      <c r="I92" s="58">
        <v>0</v>
      </c>
      <c r="J92" s="58">
        <v>0</v>
      </c>
      <c r="K92" s="58">
        <v>0</v>
      </c>
    </row>
    <row r="93" spans="1:11" x14ac:dyDescent="0.25">
      <c r="A93" s="75">
        <v>5909</v>
      </c>
      <c r="B93" s="66" t="s">
        <v>124</v>
      </c>
      <c r="C93" s="66">
        <v>23</v>
      </c>
      <c r="D93" s="66">
        <v>1404</v>
      </c>
      <c r="E93" s="41">
        <v>10</v>
      </c>
      <c r="F93" s="68">
        <v>39800000</v>
      </c>
      <c r="G93" s="68">
        <v>0</v>
      </c>
      <c r="H93" s="68">
        <v>0</v>
      </c>
      <c r="I93" s="58">
        <v>2100000</v>
      </c>
      <c r="J93" s="58">
        <v>0</v>
      </c>
      <c r="K93" s="58">
        <v>0</v>
      </c>
    </row>
    <row r="94" spans="1:11" x14ac:dyDescent="0.25">
      <c r="A94" s="75">
        <v>5914</v>
      </c>
      <c r="B94" s="66" t="s">
        <v>125</v>
      </c>
      <c r="C94" s="66">
        <v>14</v>
      </c>
      <c r="D94" s="66">
        <v>1404</v>
      </c>
      <c r="E94" s="41">
        <v>10</v>
      </c>
      <c r="F94" s="68">
        <v>0</v>
      </c>
      <c r="G94" s="68">
        <v>129999999</v>
      </c>
      <c r="H94" s="68">
        <v>0</v>
      </c>
      <c r="I94" s="58">
        <v>5400000</v>
      </c>
      <c r="J94" s="58">
        <v>0</v>
      </c>
      <c r="K94" s="58">
        <v>0</v>
      </c>
    </row>
    <row r="95" spans="1:11" x14ac:dyDescent="0.25">
      <c r="A95" s="75">
        <v>5918</v>
      </c>
      <c r="B95" s="66" t="s">
        <v>126</v>
      </c>
      <c r="C95" s="66">
        <v>9</v>
      </c>
      <c r="D95" s="66">
        <v>1404</v>
      </c>
      <c r="E95" s="41">
        <v>10</v>
      </c>
      <c r="F95" s="68">
        <v>39800000</v>
      </c>
      <c r="G95" s="68">
        <v>45853333</v>
      </c>
      <c r="H95" s="68">
        <v>0</v>
      </c>
      <c r="I95" s="58">
        <v>1500000</v>
      </c>
      <c r="J95" s="58">
        <v>0</v>
      </c>
      <c r="K95" s="58">
        <v>0</v>
      </c>
    </row>
    <row r="96" spans="1:11" x14ac:dyDescent="0.25">
      <c r="A96" s="75">
        <v>5919</v>
      </c>
      <c r="B96" s="66" t="s">
        <v>127</v>
      </c>
      <c r="C96" s="66">
        <v>152</v>
      </c>
      <c r="D96" s="66">
        <v>1404</v>
      </c>
      <c r="E96" s="41">
        <v>10</v>
      </c>
      <c r="F96" s="68">
        <v>39800000</v>
      </c>
      <c r="G96" s="68">
        <v>0</v>
      </c>
      <c r="H96" s="68">
        <v>0</v>
      </c>
      <c r="I96" s="58">
        <v>8200000</v>
      </c>
      <c r="J96" s="58">
        <v>0</v>
      </c>
      <c r="K96" s="58">
        <v>0</v>
      </c>
    </row>
    <row r="97" spans="1:11" x14ac:dyDescent="0.25">
      <c r="A97" s="75">
        <v>5924</v>
      </c>
      <c r="B97" s="66" t="s">
        <v>130</v>
      </c>
      <c r="C97" s="66">
        <v>54</v>
      </c>
      <c r="D97" s="66">
        <v>1404</v>
      </c>
      <c r="E97" s="41">
        <v>10</v>
      </c>
      <c r="F97" s="68">
        <v>19900000</v>
      </c>
      <c r="G97" s="68">
        <v>90000000</v>
      </c>
      <c r="H97" s="68">
        <v>0</v>
      </c>
      <c r="I97" s="58">
        <v>7100000</v>
      </c>
      <c r="J97" s="58">
        <v>0</v>
      </c>
      <c r="K97" s="58">
        <v>0</v>
      </c>
    </row>
    <row r="98" spans="1:11" x14ac:dyDescent="0.25">
      <c r="A98" s="75">
        <v>5926</v>
      </c>
      <c r="B98" s="66" t="s">
        <v>131</v>
      </c>
      <c r="C98" s="66">
        <v>112</v>
      </c>
      <c r="D98" s="66">
        <v>1404</v>
      </c>
      <c r="E98" s="41">
        <v>10</v>
      </c>
      <c r="F98" s="68">
        <v>39800000</v>
      </c>
      <c r="G98" s="68">
        <v>30000000</v>
      </c>
      <c r="H98" s="68">
        <v>0</v>
      </c>
      <c r="I98" s="58">
        <v>10500000</v>
      </c>
      <c r="J98" s="58">
        <v>31157500</v>
      </c>
      <c r="K98" s="58">
        <v>0</v>
      </c>
    </row>
    <row r="99" spans="1:11" x14ac:dyDescent="0.25">
      <c r="A99" s="75">
        <v>5927</v>
      </c>
      <c r="B99" s="66" t="s">
        <v>132</v>
      </c>
      <c r="C99" s="66">
        <v>153</v>
      </c>
      <c r="D99" s="66">
        <v>1404</v>
      </c>
      <c r="E99" s="41">
        <v>10</v>
      </c>
      <c r="F99" s="68">
        <v>9950000</v>
      </c>
      <c r="G99" s="68">
        <v>30000000</v>
      </c>
      <c r="H99" s="68">
        <v>0</v>
      </c>
      <c r="I99" s="58">
        <v>8000000</v>
      </c>
      <c r="J99" s="58">
        <v>0</v>
      </c>
      <c r="K99" s="58">
        <v>0</v>
      </c>
    </row>
    <row r="100" spans="1:11" x14ac:dyDescent="0.25">
      <c r="A100" s="75">
        <v>5931</v>
      </c>
      <c r="B100" s="66" t="s">
        <v>133</v>
      </c>
      <c r="C100" s="66">
        <v>113</v>
      </c>
      <c r="D100" s="66">
        <v>1404</v>
      </c>
      <c r="E100" s="41">
        <v>10</v>
      </c>
      <c r="F100" s="68">
        <v>39800000</v>
      </c>
      <c r="G100" s="68">
        <v>0</v>
      </c>
      <c r="H100" s="68">
        <v>0</v>
      </c>
      <c r="I100" s="58">
        <v>36000000</v>
      </c>
      <c r="J100" s="58">
        <v>0</v>
      </c>
      <c r="K100" s="58">
        <v>0</v>
      </c>
    </row>
    <row r="101" spans="1:11" x14ac:dyDescent="0.25">
      <c r="A101" s="75">
        <v>5936</v>
      </c>
      <c r="B101" s="66" t="s">
        <v>134</v>
      </c>
      <c r="C101" s="66">
        <v>11</v>
      </c>
      <c r="D101" s="66">
        <v>1404</v>
      </c>
      <c r="E101" s="41">
        <v>10</v>
      </c>
      <c r="F101" s="68">
        <v>39800000</v>
      </c>
      <c r="G101" s="68">
        <v>77717000</v>
      </c>
      <c r="H101" s="68">
        <v>0</v>
      </c>
      <c r="I101" s="58">
        <v>4800000</v>
      </c>
      <c r="J101" s="58">
        <v>0</v>
      </c>
      <c r="K101" s="58">
        <v>0</v>
      </c>
    </row>
    <row r="102" spans="1:11" x14ac:dyDescent="0.25">
      <c r="A102" s="75">
        <v>5937</v>
      </c>
      <c r="B102" s="66" t="s">
        <v>285</v>
      </c>
      <c r="C102" s="66">
        <v>175</v>
      </c>
      <c r="D102" s="66">
        <v>1404</v>
      </c>
      <c r="E102" s="41">
        <v>10</v>
      </c>
      <c r="F102" s="68">
        <v>0</v>
      </c>
      <c r="G102" s="68">
        <v>30000000</v>
      </c>
      <c r="H102" s="68">
        <v>0</v>
      </c>
      <c r="I102" s="58">
        <v>5100000</v>
      </c>
      <c r="J102" s="58">
        <v>0</v>
      </c>
      <c r="K102" s="58">
        <v>0</v>
      </c>
    </row>
    <row r="103" spans="1:11" x14ac:dyDescent="0.25">
      <c r="A103" s="75">
        <v>5941</v>
      </c>
      <c r="B103" s="66" t="s">
        <v>137</v>
      </c>
      <c r="C103" s="66">
        <v>184</v>
      </c>
      <c r="D103" s="66">
        <v>1404</v>
      </c>
      <c r="E103" s="41">
        <v>10</v>
      </c>
      <c r="F103" s="68">
        <v>9950000</v>
      </c>
      <c r="G103" s="68">
        <v>30000000</v>
      </c>
      <c r="H103" s="68">
        <v>0</v>
      </c>
      <c r="I103" s="58">
        <v>4800000</v>
      </c>
      <c r="J103" s="58">
        <v>0</v>
      </c>
      <c r="K103" s="58">
        <v>0</v>
      </c>
    </row>
    <row r="104" spans="1:11" x14ac:dyDescent="0.25">
      <c r="A104" s="75">
        <v>5944</v>
      </c>
      <c r="B104" s="66" t="s">
        <v>139</v>
      </c>
      <c r="C104" s="66">
        <v>173</v>
      </c>
      <c r="D104" s="66">
        <v>1404</v>
      </c>
      <c r="E104" s="41">
        <v>10</v>
      </c>
      <c r="F104" s="68">
        <v>29850000</v>
      </c>
      <c r="G104" s="68">
        <v>0</v>
      </c>
      <c r="H104" s="68">
        <v>0</v>
      </c>
      <c r="I104" s="58">
        <v>7900000</v>
      </c>
      <c r="J104" s="58">
        <v>0</v>
      </c>
      <c r="K104" s="58">
        <v>0</v>
      </c>
    </row>
    <row r="105" spans="1:11" x14ac:dyDescent="0.25">
      <c r="A105" s="75">
        <v>5950</v>
      </c>
      <c r="B105" s="66" t="s">
        <v>141</v>
      </c>
      <c r="C105" s="66">
        <v>308</v>
      </c>
      <c r="D105" s="66">
        <v>1404</v>
      </c>
      <c r="E105" s="41">
        <v>10</v>
      </c>
      <c r="F105" s="68">
        <v>39800000</v>
      </c>
      <c r="G105" s="68">
        <v>33333334</v>
      </c>
      <c r="H105" s="68">
        <v>0</v>
      </c>
      <c r="I105" s="58">
        <v>0</v>
      </c>
      <c r="J105" s="58">
        <v>0</v>
      </c>
      <c r="K105" s="58">
        <v>0</v>
      </c>
    </row>
    <row r="106" spans="1:11" x14ac:dyDescent="0.25">
      <c r="A106" s="75">
        <v>5952</v>
      </c>
      <c r="B106" s="66" t="s">
        <v>215</v>
      </c>
      <c r="C106" s="66">
        <v>307</v>
      </c>
      <c r="D106" s="66">
        <v>1404</v>
      </c>
      <c r="E106" s="41">
        <v>10</v>
      </c>
      <c r="F106" s="68">
        <v>0</v>
      </c>
      <c r="G106" s="68">
        <v>30000000</v>
      </c>
      <c r="H106" s="68">
        <v>0</v>
      </c>
      <c r="I106" s="58">
        <v>0</v>
      </c>
      <c r="J106" s="58">
        <v>0</v>
      </c>
      <c r="K106" s="58">
        <v>0</v>
      </c>
    </row>
    <row r="107" spans="1:11" x14ac:dyDescent="0.25">
      <c r="A107" s="75">
        <v>5957</v>
      </c>
      <c r="B107" s="66" t="s">
        <v>142</v>
      </c>
      <c r="C107" s="66">
        <v>88</v>
      </c>
      <c r="D107" s="66">
        <v>1404</v>
      </c>
      <c r="E107" s="41">
        <v>10</v>
      </c>
      <c r="F107" s="68">
        <v>9950000</v>
      </c>
      <c r="G107" s="68">
        <v>30000000</v>
      </c>
      <c r="H107" s="68">
        <v>0</v>
      </c>
      <c r="I107" s="58">
        <v>6200000</v>
      </c>
      <c r="J107" s="58">
        <v>0</v>
      </c>
      <c r="K107" s="58">
        <v>0</v>
      </c>
    </row>
    <row r="108" spans="1:11" x14ac:dyDescent="0.25">
      <c r="A108" s="75">
        <v>5958</v>
      </c>
      <c r="B108" s="66" t="s">
        <v>143</v>
      </c>
      <c r="C108" s="66">
        <v>309</v>
      </c>
      <c r="D108" s="66">
        <v>1404</v>
      </c>
      <c r="E108" s="41">
        <v>10</v>
      </c>
      <c r="F108" s="68">
        <v>0</v>
      </c>
      <c r="G108" s="68">
        <v>30000000</v>
      </c>
      <c r="H108" s="68">
        <v>0</v>
      </c>
      <c r="I108" s="58">
        <v>11900000</v>
      </c>
      <c r="J108" s="58">
        <v>0</v>
      </c>
      <c r="K108" s="58">
        <v>0</v>
      </c>
    </row>
    <row r="109" spans="1:11" x14ac:dyDescent="0.25">
      <c r="A109" s="75">
        <v>5960</v>
      </c>
      <c r="B109" s="66" t="s">
        <v>144</v>
      </c>
      <c r="C109" s="66">
        <v>115</v>
      </c>
      <c r="D109" s="66">
        <v>1404</v>
      </c>
      <c r="E109" s="41">
        <v>10</v>
      </c>
      <c r="F109" s="68">
        <v>39800000</v>
      </c>
      <c r="G109" s="68">
        <v>2000000</v>
      </c>
      <c r="H109" s="68">
        <v>0</v>
      </c>
      <c r="I109" s="58">
        <v>5400000</v>
      </c>
      <c r="J109" s="58">
        <v>0</v>
      </c>
      <c r="K109" s="58">
        <v>0</v>
      </c>
    </row>
    <row r="110" spans="1:11" x14ac:dyDescent="0.25">
      <c r="A110" s="75">
        <v>5961</v>
      </c>
      <c r="B110" s="66" t="s">
        <v>145</v>
      </c>
      <c r="C110" s="66">
        <v>1</v>
      </c>
      <c r="D110" s="66">
        <v>1404</v>
      </c>
      <c r="E110" s="41">
        <v>10</v>
      </c>
      <c r="F110" s="68">
        <v>39800000</v>
      </c>
      <c r="G110" s="68">
        <v>30000000</v>
      </c>
      <c r="H110" s="68">
        <v>0</v>
      </c>
      <c r="I110" s="58">
        <v>5900000</v>
      </c>
      <c r="J110" s="58">
        <v>0</v>
      </c>
      <c r="K110" s="58">
        <v>0</v>
      </c>
    </row>
    <row r="111" spans="1:11" x14ac:dyDescent="0.25">
      <c r="A111" s="75">
        <v>5962</v>
      </c>
      <c r="B111" s="66" t="s">
        <v>146</v>
      </c>
      <c r="C111" s="66">
        <v>33</v>
      </c>
      <c r="D111" s="66">
        <v>1404</v>
      </c>
      <c r="E111" s="41">
        <v>10</v>
      </c>
      <c r="F111" s="68">
        <v>19900000</v>
      </c>
      <c r="G111" s="68">
        <v>30000000</v>
      </c>
      <c r="H111" s="68">
        <v>0</v>
      </c>
      <c r="I111" s="58">
        <v>5400000</v>
      </c>
      <c r="J111" s="58">
        <v>62500000</v>
      </c>
      <c r="K111" s="58">
        <v>0</v>
      </c>
    </row>
    <row r="112" spans="1:11" x14ac:dyDescent="0.25">
      <c r="A112" s="75">
        <v>5966</v>
      </c>
      <c r="B112" s="66" t="s">
        <v>147</v>
      </c>
      <c r="C112" s="66">
        <v>172</v>
      </c>
      <c r="D112" s="66">
        <v>1404</v>
      </c>
      <c r="E112" s="41">
        <v>10</v>
      </c>
      <c r="F112" s="68">
        <v>19900000</v>
      </c>
      <c r="G112" s="68">
        <v>0</v>
      </c>
      <c r="H112" s="68">
        <v>0</v>
      </c>
      <c r="I112" s="58">
        <v>5400000</v>
      </c>
      <c r="J112" s="58">
        <v>0</v>
      </c>
      <c r="K112" s="58">
        <v>0</v>
      </c>
    </row>
    <row r="113" spans="1:11" x14ac:dyDescent="0.25">
      <c r="A113" s="75">
        <v>5968</v>
      </c>
      <c r="B113" s="66" t="s">
        <v>149</v>
      </c>
      <c r="C113" s="66">
        <v>202</v>
      </c>
      <c r="D113" s="66">
        <v>1404</v>
      </c>
      <c r="E113" s="41">
        <v>10</v>
      </c>
      <c r="F113" s="68">
        <v>29850000</v>
      </c>
      <c r="G113" s="68">
        <v>30000000</v>
      </c>
      <c r="H113" s="68">
        <v>0</v>
      </c>
      <c r="I113" s="58">
        <v>0</v>
      </c>
      <c r="J113" s="58">
        <v>0</v>
      </c>
      <c r="K113" s="58">
        <v>0</v>
      </c>
    </row>
    <row r="114" spans="1:11" x14ac:dyDescent="0.25">
      <c r="A114" s="75">
        <v>5970</v>
      </c>
      <c r="B114" s="66" t="s">
        <v>218</v>
      </c>
      <c r="C114" s="66">
        <v>204</v>
      </c>
      <c r="D114" s="66">
        <v>1404</v>
      </c>
      <c r="E114" s="41">
        <v>10</v>
      </c>
      <c r="F114" s="68">
        <v>0</v>
      </c>
      <c r="G114" s="68">
        <v>0</v>
      </c>
      <c r="H114" s="68">
        <v>0</v>
      </c>
      <c r="I114" s="58">
        <v>2100000</v>
      </c>
      <c r="J114" s="58">
        <v>0</v>
      </c>
      <c r="K114" s="58">
        <v>0</v>
      </c>
    </row>
    <row r="115" spans="1:11" x14ac:dyDescent="0.25">
      <c r="A115" s="75">
        <v>5971</v>
      </c>
      <c r="B115" s="66" t="s">
        <v>219</v>
      </c>
      <c r="C115" s="66">
        <v>203</v>
      </c>
      <c r="D115" s="66">
        <v>1404</v>
      </c>
      <c r="E115" s="41">
        <v>10</v>
      </c>
      <c r="F115" s="68">
        <v>0</v>
      </c>
      <c r="G115" s="68">
        <v>0</v>
      </c>
      <c r="H115" s="68">
        <v>0</v>
      </c>
      <c r="I115" s="58">
        <v>2100000</v>
      </c>
      <c r="J115" s="58">
        <v>0</v>
      </c>
      <c r="K115" s="58">
        <v>0</v>
      </c>
    </row>
    <row r="116" spans="1:11" x14ac:dyDescent="0.25">
      <c r="A116" s="75">
        <v>5976</v>
      </c>
      <c r="B116" s="66" t="s">
        <v>150</v>
      </c>
      <c r="C116" s="66">
        <v>326</v>
      </c>
      <c r="D116" s="66">
        <v>1404</v>
      </c>
      <c r="E116" s="41">
        <v>10</v>
      </c>
      <c r="F116" s="68">
        <v>29850000</v>
      </c>
      <c r="G116" s="68">
        <v>0</v>
      </c>
      <c r="H116" s="68">
        <v>0</v>
      </c>
      <c r="I116" s="58">
        <v>18000000</v>
      </c>
      <c r="J116" s="58">
        <v>0</v>
      </c>
      <c r="K116" s="58">
        <v>0</v>
      </c>
    </row>
    <row r="117" spans="1:11" x14ac:dyDescent="0.25">
      <c r="A117" s="75">
        <v>5981</v>
      </c>
      <c r="B117" s="66" t="s">
        <v>222</v>
      </c>
      <c r="C117" s="66">
        <v>335</v>
      </c>
      <c r="D117" s="66">
        <v>1404</v>
      </c>
      <c r="E117" s="41">
        <v>10</v>
      </c>
      <c r="F117" s="68">
        <v>0</v>
      </c>
      <c r="G117" s="68">
        <v>40000000</v>
      </c>
      <c r="H117" s="68">
        <v>0</v>
      </c>
      <c r="I117" s="58">
        <v>6200000</v>
      </c>
      <c r="J117" s="58">
        <v>0</v>
      </c>
      <c r="K117" s="58">
        <v>0</v>
      </c>
    </row>
    <row r="118" spans="1:11" x14ac:dyDescent="0.25">
      <c r="A118" s="75">
        <v>5982</v>
      </c>
      <c r="B118" s="66" t="s">
        <v>151</v>
      </c>
      <c r="C118" s="66">
        <v>332</v>
      </c>
      <c r="D118" s="66">
        <v>1404</v>
      </c>
      <c r="E118" s="41">
        <v>10</v>
      </c>
      <c r="F118" s="68">
        <v>0</v>
      </c>
      <c r="G118" s="68">
        <v>30000000</v>
      </c>
      <c r="H118" s="68">
        <v>0</v>
      </c>
      <c r="I118" s="58">
        <v>7100000</v>
      </c>
      <c r="J118" s="58">
        <v>0</v>
      </c>
      <c r="K118" s="58">
        <v>0</v>
      </c>
    </row>
    <row r="119" spans="1:11" x14ac:dyDescent="0.25">
      <c r="A119" s="75">
        <v>5988</v>
      </c>
      <c r="B119" s="66" t="s">
        <v>152</v>
      </c>
      <c r="C119" s="66">
        <v>323</v>
      </c>
      <c r="D119" s="66">
        <v>1404</v>
      </c>
      <c r="E119" s="41">
        <v>10</v>
      </c>
      <c r="F119" s="68">
        <v>49750000</v>
      </c>
      <c r="G119" s="68">
        <v>130000000</v>
      </c>
      <c r="H119" s="68">
        <v>0</v>
      </c>
      <c r="I119" s="58">
        <v>7100000</v>
      </c>
      <c r="J119" s="58">
        <v>0</v>
      </c>
      <c r="K119" s="58">
        <v>0</v>
      </c>
    </row>
    <row r="120" spans="1:11" x14ac:dyDescent="0.25">
      <c r="A120" s="75">
        <v>5995</v>
      </c>
      <c r="B120" s="66" t="s">
        <v>155</v>
      </c>
      <c r="C120" s="66">
        <v>328</v>
      </c>
      <c r="D120" s="66">
        <v>1404</v>
      </c>
      <c r="E120" s="41">
        <v>10</v>
      </c>
      <c r="F120" s="68">
        <v>9950000</v>
      </c>
      <c r="G120" s="68">
        <v>0</v>
      </c>
      <c r="H120" s="68">
        <v>0</v>
      </c>
      <c r="I120" s="58">
        <v>4200000</v>
      </c>
      <c r="J120" s="58">
        <v>0</v>
      </c>
      <c r="K120" s="58">
        <v>0</v>
      </c>
    </row>
    <row r="121" spans="1:11" x14ac:dyDescent="0.25">
      <c r="A121" s="75">
        <v>5997</v>
      </c>
      <c r="B121" s="66" t="s">
        <v>156</v>
      </c>
      <c r="C121" s="66">
        <v>322</v>
      </c>
      <c r="D121" s="66">
        <v>1404</v>
      </c>
      <c r="E121" s="41">
        <v>10</v>
      </c>
      <c r="F121" s="68">
        <v>0</v>
      </c>
      <c r="G121" s="68">
        <v>0</v>
      </c>
      <c r="H121" s="68">
        <v>0</v>
      </c>
      <c r="I121" s="58">
        <v>4800000</v>
      </c>
      <c r="J121" s="58">
        <v>0</v>
      </c>
      <c r="K121" s="58">
        <v>0</v>
      </c>
    </row>
    <row r="122" spans="1:11" x14ac:dyDescent="0.25">
      <c r="A122" s="75">
        <v>6001</v>
      </c>
      <c r="B122" s="66" t="s">
        <v>227</v>
      </c>
      <c r="C122" s="66">
        <v>366</v>
      </c>
      <c r="D122" s="66">
        <v>1404</v>
      </c>
      <c r="E122" s="41">
        <v>10</v>
      </c>
      <c r="F122" s="68">
        <v>49750000</v>
      </c>
      <c r="G122" s="68">
        <v>0</v>
      </c>
      <c r="H122" s="68">
        <v>0</v>
      </c>
      <c r="I122" s="58">
        <v>0</v>
      </c>
      <c r="J122" s="58">
        <v>0</v>
      </c>
      <c r="K122" s="58">
        <v>0</v>
      </c>
    </row>
    <row r="123" spans="1:11" x14ac:dyDescent="0.25">
      <c r="A123" s="75">
        <v>6004</v>
      </c>
      <c r="B123" s="66" t="s">
        <v>158</v>
      </c>
      <c r="C123" s="66">
        <v>352</v>
      </c>
      <c r="D123" s="66">
        <v>1404</v>
      </c>
      <c r="E123" s="41">
        <v>10</v>
      </c>
      <c r="F123" s="68">
        <v>39800000</v>
      </c>
      <c r="G123" s="68">
        <v>0</v>
      </c>
      <c r="H123" s="68">
        <v>0</v>
      </c>
      <c r="I123" s="58">
        <v>0</v>
      </c>
      <c r="J123" s="58">
        <v>0</v>
      </c>
      <c r="K123" s="58">
        <v>0</v>
      </c>
    </row>
    <row r="124" spans="1:11" x14ac:dyDescent="0.25">
      <c r="A124" s="75">
        <v>6005</v>
      </c>
      <c r="B124" s="66" t="s">
        <v>228</v>
      </c>
      <c r="C124" s="66">
        <v>377</v>
      </c>
      <c r="D124" s="66">
        <v>1404</v>
      </c>
      <c r="E124" s="41">
        <v>10</v>
      </c>
      <c r="F124" s="68">
        <v>0</v>
      </c>
      <c r="G124" s="68">
        <v>0</v>
      </c>
      <c r="H124" s="68">
        <v>0</v>
      </c>
      <c r="I124" s="58">
        <v>300000</v>
      </c>
      <c r="J124" s="58">
        <v>0</v>
      </c>
      <c r="K124" s="58">
        <v>0</v>
      </c>
    </row>
    <row r="125" spans="1:11" x14ac:dyDescent="0.25">
      <c r="A125" s="75">
        <v>6006</v>
      </c>
      <c r="B125" s="66" t="s">
        <v>159</v>
      </c>
      <c r="C125" s="66">
        <v>341</v>
      </c>
      <c r="D125" s="66">
        <v>1404</v>
      </c>
      <c r="E125" s="41">
        <v>10</v>
      </c>
      <c r="F125" s="68">
        <v>9950000</v>
      </c>
      <c r="G125" s="68">
        <v>0</v>
      </c>
      <c r="H125" s="68">
        <v>0</v>
      </c>
      <c r="I125" s="58">
        <v>6500000</v>
      </c>
      <c r="J125" s="58">
        <v>0</v>
      </c>
      <c r="K125" s="58">
        <v>0</v>
      </c>
    </row>
    <row r="126" spans="1:11" x14ac:dyDescent="0.25">
      <c r="A126" s="75">
        <v>6011</v>
      </c>
      <c r="B126" s="66" t="s">
        <v>160</v>
      </c>
      <c r="C126" s="66">
        <v>345</v>
      </c>
      <c r="D126" s="66">
        <v>1404</v>
      </c>
      <c r="E126" s="41">
        <v>10</v>
      </c>
      <c r="F126" s="68">
        <v>0</v>
      </c>
      <c r="G126" s="68">
        <v>40000000</v>
      </c>
      <c r="H126" s="68">
        <v>0</v>
      </c>
      <c r="I126" s="58">
        <v>0</v>
      </c>
      <c r="J126" s="58">
        <v>90461625</v>
      </c>
      <c r="K126" s="58">
        <v>0</v>
      </c>
    </row>
    <row r="127" spans="1:11" x14ac:dyDescent="0.25">
      <c r="A127" s="75">
        <v>6014</v>
      </c>
      <c r="B127" s="66" t="s">
        <v>299</v>
      </c>
      <c r="C127" s="66">
        <v>319</v>
      </c>
      <c r="D127" s="66">
        <v>1404</v>
      </c>
      <c r="E127" s="41">
        <v>10</v>
      </c>
      <c r="F127" s="68">
        <v>0</v>
      </c>
      <c r="G127" s="68">
        <v>0</v>
      </c>
      <c r="H127" s="68">
        <v>0</v>
      </c>
      <c r="I127" s="58">
        <v>1200000</v>
      </c>
      <c r="J127" s="58">
        <v>0</v>
      </c>
      <c r="K127" s="58">
        <v>0</v>
      </c>
    </row>
    <row r="128" spans="1:11" x14ac:dyDescent="0.25">
      <c r="A128" s="75">
        <v>6015</v>
      </c>
      <c r="B128" s="66" t="s">
        <v>162</v>
      </c>
      <c r="C128" s="66">
        <v>359</v>
      </c>
      <c r="D128" s="66">
        <v>1404</v>
      </c>
      <c r="E128" s="41">
        <v>10</v>
      </c>
      <c r="F128" s="68">
        <v>0</v>
      </c>
      <c r="G128" s="68">
        <v>30000000</v>
      </c>
      <c r="H128" s="68">
        <v>0</v>
      </c>
      <c r="I128" s="58">
        <v>0</v>
      </c>
      <c r="J128" s="58">
        <v>0</v>
      </c>
      <c r="K128" s="58">
        <v>0</v>
      </c>
    </row>
    <row r="129" spans="1:11" x14ac:dyDescent="0.25">
      <c r="A129" s="75">
        <v>6016</v>
      </c>
      <c r="B129" s="66" t="s">
        <v>163</v>
      </c>
      <c r="C129" s="66">
        <v>375</v>
      </c>
      <c r="D129" s="66">
        <v>1404</v>
      </c>
      <c r="E129" s="41">
        <v>10</v>
      </c>
      <c r="F129" s="68">
        <v>9950000</v>
      </c>
      <c r="G129" s="68">
        <v>30000000</v>
      </c>
      <c r="H129" s="68">
        <v>0</v>
      </c>
      <c r="I129" s="58">
        <v>1200000</v>
      </c>
      <c r="J129" s="58">
        <v>0</v>
      </c>
      <c r="K129" s="58">
        <v>0</v>
      </c>
    </row>
    <row r="130" spans="1:11" x14ac:dyDescent="0.25">
      <c r="A130" s="75">
        <v>6019</v>
      </c>
      <c r="B130" s="66" t="s">
        <v>166</v>
      </c>
      <c r="C130" s="66">
        <v>374</v>
      </c>
      <c r="D130" s="66">
        <v>1404</v>
      </c>
      <c r="E130" s="41">
        <v>10</v>
      </c>
      <c r="F130" s="68">
        <v>0</v>
      </c>
      <c r="G130" s="68">
        <v>0</v>
      </c>
      <c r="H130" s="68">
        <v>0</v>
      </c>
      <c r="I130" s="58">
        <v>3900000</v>
      </c>
      <c r="J130" s="58">
        <v>0</v>
      </c>
      <c r="K130" s="58">
        <v>0</v>
      </c>
    </row>
    <row r="131" spans="1:11" x14ac:dyDescent="0.25">
      <c r="A131" s="75">
        <v>6020</v>
      </c>
      <c r="B131" s="66" t="s">
        <v>167</v>
      </c>
      <c r="C131" s="66">
        <v>425</v>
      </c>
      <c r="D131" s="66">
        <v>1404</v>
      </c>
      <c r="E131" s="41">
        <v>10</v>
      </c>
      <c r="F131" s="68">
        <v>19900000</v>
      </c>
      <c r="G131" s="68">
        <v>0</v>
      </c>
      <c r="H131" s="68">
        <v>13783502</v>
      </c>
      <c r="I131" s="58">
        <v>5400000</v>
      </c>
      <c r="J131" s="58">
        <v>0</v>
      </c>
      <c r="K131" s="58">
        <v>0</v>
      </c>
    </row>
    <row r="132" spans="1:11" x14ac:dyDescent="0.25">
      <c r="A132" s="75">
        <v>6025</v>
      </c>
      <c r="B132" s="66" t="s">
        <v>169</v>
      </c>
      <c r="C132" s="66">
        <v>369</v>
      </c>
      <c r="D132" s="66">
        <v>1404</v>
      </c>
      <c r="E132" s="41">
        <v>10</v>
      </c>
      <c r="F132" s="68">
        <v>0</v>
      </c>
      <c r="G132" s="68">
        <v>0</v>
      </c>
      <c r="H132" s="68">
        <v>0</v>
      </c>
      <c r="I132" s="58">
        <v>8500000</v>
      </c>
      <c r="J132" s="58">
        <v>0</v>
      </c>
      <c r="K132" s="58">
        <v>0</v>
      </c>
    </row>
    <row r="133" spans="1:11" x14ac:dyDescent="0.25">
      <c r="A133" s="75">
        <v>6026</v>
      </c>
      <c r="B133" s="66" t="s">
        <v>170</v>
      </c>
      <c r="C133" s="66">
        <v>370</v>
      </c>
      <c r="D133" s="66">
        <v>1404</v>
      </c>
      <c r="E133" s="41">
        <v>10</v>
      </c>
      <c r="F133" s="68">
        <v>0</v>
      </c>
      <c r="G133" s="68">
        <v>40000000</v>
      </c>
      <c r="H133" s="68">
        <v>0</v>
      </c>
      <c r="I133" s="58">
        <v>5000000</v>
      </c>
      <c r="J133" s="58">
        <v>118542867</v>
      </c>
      <c r="K133" s="58">
        <v>0</v>
      </c>
    </row>
    <row r="134" spans="1:11" x14ac:dyDescent="0.25">
      <c r="A134" s="75">
        <v>6028</v>
      </c>
      <c r="B134" s="66" t="s">
        <v>171</v>
      </c>
      <c r="C134" s="66">
        <v>398</v>
      </c>
      <c r="D134" s="66">
        <v>1404</v>
      </c>
      <c r="E134" s="41">
        <v>10</v>
      </c>
      <c r="F134" s="68">
        <v>19900000</v>
      </c>
      <c r="G134" s="68">
        <v>30000000</v>
      </c>
      <c r="H134" s="68">
        <v>0</v>
      </c>
      <c r="I134" s="58">
        <v>0</v>
      </c>
      <c r="J134" s="58">
        <v>37579444</v>
      </c>
      <c r="K134" s="58">
        <v>0</v>
      </c>
    </row>
    <row r="135" spans="1:11" x14ac:dyDescent="0.25">
      <c r="A135" s="75">
        <v>6030</v>
      </c>
      <c r="B135" s="66" t="s">
        <v>229</v>
      </c>
      <c r="C135" s="66">
        <v>348</v>
      </c>
      <c r="D135" s="66">
        <v>1404</v>
      </c>
      <c r="E135" s="41">
        <v>10</v>
      </c>
      <c r="F135" s="68">
        <v>29850000</v>
      </c>
      <c r="G135" s="68">
        <v>0</v>
      </c>
      <c r="H135" s="68">
        <v>0</v>
      </c>
      <c r="I135" s="58">
        <v>0</v>
      </c>
      <c r="J135" s="58">
        <v>0</v>
      </c>
      <c r="K135" s="58">
        <v>0</v>
      </c>
    </row>
    <row r="136" spans="1:11" x14ac:dyDescent="0.25">
      <c r="A136" s="75">
        <v>6035</v>
      </c>
      <c r="B136" s="66" t="s">
        <v>173</v>
      </c>
      <c r="C136" s="66">
        <v>385</v>
      </c>
      <c r="D136" s="66">
        <v>1404</v>
      </c>
      <c r="E136" s="41">
        <v>10</v>
      </c>
      <c r="F136" s="68">
        <v>0</v>
      </c>
      <c r="G136" s="68">
        <v>0</v>
      </c>
      <c r="H136" s="68">
        <v>0</v>
      </c>
      <c r="I136" s="58">
        <v>6500000</v>
      </c>
      <c r="J136" s="58">
        <v>0</v>
      </c>
      <c r="K136" s="58">
        <v>0</v>
      </c>
    </row>
    <row r="137" spans="1:11" x14ac:dyDescent="0.25">
      <c r="A137" s="75">
        <v>6037</v>
      </c>
      <c r="B137" s="66" t="s">
        <v>174</v>
      </c>
      <c r="C137" s="66">
        <v>387</v>
      </c>
      <c r="D137" s="66">
        <v>1404</v>
      </c>
      <c r="E137" s="41">
        <v>10</v>
      </c>
      <c r="F137" s="68">
        <v>39800000</v>
      </c>
      <c r="G137" s="68">
        <v>63333333</v>
      </c>
      <c r="H137" s="68">
        <v>0</v>
      </c>
      <c r="I137" s="58">
        <v>5400000</v>
      </c>
      <c r="J137" s="58">
        <v>0</v>
      </c>
      <c r="K137" s="58">
        <v>0</v>
      </c>
    </row>
    <row r="138" spans="1:11" x14ac:dyDescent="0.25">
      <c r="A138" s="75">
        <v>6041</v>
      </c>
      <c r="B138" s="66" t="s">
        <v>175</v>
      </c>
      <c r="C138" s="66">
        <v>338</v>
      </c>
      <c r="D138" s="66">
        <v>1404</v>
      </c>
      <c r="E138" s="41">
        <v>10</v>
      </c>
      <c r="F138" s="68">
        <v>39800000</v>
      </c>
      <c r="G138" s="68">
        <v>0</v>
      </c>
      <c r="H138" s="68">
        <v>0</v>
      </c>
      <c r="I138" s="58">
        <v>1800000</v>
      </c>
      <c r="J138" s="58">
        <v>0</v>
      </c>
      <c r="K138" s="58">
        <v>0</v>
      </c>
    </row>
    <row r="139" spans="1:11" x14ac:dyDescent="0.25">
      <c r="A139" s="75">
        <v>6042</v>
      </c>
      <c r="B139" s="66" t="s">
        <v>176</v>
      </c>
      <c r="C139" s="66">
        <v>378</v>
      </c>
      <c r="D139" s="66">
        <v>1404</v>
      </c>
      <c r="E139" s="41">
        <v>10</v>
      </c>
      <c r="F139" s="68">
        <v>9950000</v>
      </c>
      <c r="G139" s="68">
        <v>0</v>
      </c>
      <c r="H139" s="68">
        <v>0</v>
      </c>
      <c r="I139" s="58">
        <v>7600000</v>
      </c>
      <c r="J139" s="58">
        <v>0</v>
      </c>
      <c r="K139" s="58">
        <v>0</v>
      </c>
    </row>
    <row r="140" spans="1:11" x14ac:dyDescent="0.25">
      <c r="A140" s="75">
        <v>6045</v>
      </c>
      <c r="B140" s="66" t="s">
        <v>178</v>
      </c>
      <c r="C140" s="66">
        <v>388</v>
      </c>
      <c r="D140" s="66">
        <v>1404</v>
      </c>
      <c r="E140" s="41">
        <v>10</v>
      </c>
      <c r="F140" s="68">
        <v>19900000</v>
      </c>
      <c r="G140" s="68">
        <v>0</v>
      </c>
      <c r="H140" s="68">
        <v>0</v>
      </c>
      <c r="I140" s="58">
        <v>8200000</v>
      </c>
      <c r="J140" s="58">
        <v>0</v>
      </c>
      <c r="K140" s="58">
        <v>0</v>
      </c>
    </row>
    <row r="141" spans="1:11" x14ac:dyDescent="0.25">
      <c r="A141" s="75">
        <v>6046</v>
      </c>
      <c r="B141" s="66" t="s">
        <v>179</v>
      </c>
      <c r="C141" s="66">
        <v>396</v>
      </c>
      <c r="D141" s="66">
        <v>1404</v>
      </c>
      <c r="E141" s="41">
        <v>10</v>
      </c>
      <c r="F141" s="68">
        <v>0</v>
      </c>
      <c r="G141" s="68">
        <v>0</v>
      </c>
      <c r="H141" s="68">
        <v>0</v>
      </c>
      <c r="I141" s="58">
        <v>8200000</v>
      </c>
      <c r="J141" s="58">
        <v>0</v>
      </c>
      <c r="K141" s="58">
        <v>0</v>
      </c>
    </row>
    <row r="142" spans="1:11" x14ac:dyDescent="0.25">
      <c r="A142" s="75">
        <v>6055</v>
      </c>
      <c r="B142" s="66" t="s">
        <v>180</v>
      </c>
      <c r="C142" s="66">
        <v>400</v>
      </c>
      <c r="D142" s="66">
        <v>1404</v>
      </c>
      <c r="E142" s="41">
        <v>10</v>
      </c>
      <c r="F142" s="68">
        <v>9950000</v>
      </c>
      <c r="G142" s="68">
        <v>30000000</v>
      </c>
      <c r="H142" s="68">
        <v>0</v>
      </c>
      <c r="I142" s="58">
        <v>5400000</v>
      </c>
      <c r="J142" s="58">
        <v>0</v>
      </c>
      <c r="K142" s="58">
        <v>0</v>
      </c>
    </row>
    <row r="143" spans="1:11" x14ac:dyDescent="0.25">
      <c r="A143" s="75">
        <v>6057</v>
      </c>
      <c r="B143" s="66" t="s">
        <v>181</v>
      </c>
      <c r="C143" s="66">
        <v>395</v>
      </c>
      <c r="D143" s="66">
        <v>1404</v>
      </c>
      <c r="E143" s="41">
        <v>10</v>
      </c>
      <c r="F143" s="68">
        <v>0</v>
      </c>
      <c r="G143" s="68">
        <v>10000000</v>
      </c>
      <c r="H143" s="68">
        <v>0</v>
      </c>
      <c r="I143" s="58">
        <v>10500000</v>
      </c>
      <c r="J143" s="58">
        <v>0</v>
      </c>
      <c r="K143" s="58">
        <v>0</v>
      </c>
    </row>
    <row r="144" spans="1:11" x14ac:dyDescent="0.25">
      <c r="A144" s="75">
        <v>6059</v>
      </c>
      <c r="B144" s="66" t="s">
        <v>182</v>
      </c>
      <c r="C144" s="66">
        <v>201</v>
      </c>
      <c r="D144" s="66">
        <v>1404</v>
      </c>
      <c r="E144" s="41">
        <v>10</v>
      </c>
      <c r="F144" s="68">
        <v>0</v>
      </c>
      <c r="G144" s="68">
        <v>60000000</v>
      </c>
      <c r="H144" s="68">
        <v>25400739</v>
      </c>
      <c r="I144" s="58">
        <v>5100000</v>
      </c>
      <c r="J144" s="58">
        <v>0</v>
      </c>
      <c r="K144" s="58">
        <v>0</v>
      </c>
    </row>
    <row r="145" spans="1:11" x14ac:dyDescent="0.25">
      <c r="A145" s="75">
        <v>6061</v>
      </c>
      <c r="B145" s="66" t="s">
        <v>183</v>
      </c>
      <c r="C145" s="66">
        <v>407</v>
      </c>
      <c r="D145" s="66">
        <v>1404</v>
      </c>
      <c r="E145" s="41">
        <v>10</v>
      </c>
      <c r="F145" s="68">
        <v>9950000</v>
      </c>
      <c r="G145" s="68">
        <v>40000000</v>
      </c>
      <c r="H145" s="68">
        <v>0</v>
      </c>
      <c r="I145" s="58">
        <v>1800000</v>
      </c>
      <c r="J145" s="58">
        <v>0</v>
      </c>
      <c r="K145" s="58">
        <v>0</v>
      </c>
    </row>
    <row r="146" spans="1:11" x14ac:dyDescent="0.25">
      <c r="A146" s="75">
        <v>6064</v>
      </c>
      <c r="B146" s="66" t="s">
        <v>269</v>
      </c>
      <c r="C146" s="66">
        <v>412</v>
      </c>
      <c r="D146" s="66">
        <v>1404</v>
      </c>
      <c r="E146" s="41">
        <v>10</v>
      </c>
      <c r="F146" s="68">
        <v>19900000</v>
      </c>
      <c r="G146" s="68">
        <v>0</v>
      </c>
      <c r="H146" s="68">
        <v>0</v>
      </c>
      <c r="I146" s="58">
        <v>0</v>
      </c>
      <c r="J146" s="58">
        <v>0</v>
      </c>
      <c r="K146" s="58">
        <v>0</v>
      </c>
    </row>
    <row r="147" spans="1:11" x14ac:dyDescent="0.25">
      <c r="A147" s="75">
        <v>6069</v>
      </c>
      <c r="B147" s="66" t="s">
        <v>185</v>
      </c>
      <c r="C147" s="66">
        <v>418</v>
      </c>
      <c r="D147" s="66">
        <v>1404</v>
      </c>
      <c r="E147" s="41">
        <v>10</v>
      </c>
      <c r="F147" s="68">
        <v>19900000</v>
      </c>
      <c r="G147" s="68">
        <v>0</v>
      </c>
      <c r="H147" s="68">
        <v>0</v>
      </c>
      <c r="I147" s="58">
        <v>300000</v>
      </c>
      <c r="J147" s="58">
        <v>0</v>
      </c>
      <c r="K147" s="58">
        <v>0</v>
      </c>
    </row>
    <row r="148" spans="1:11" x14ac:dyDescent="0.25">
      <c r="A148" s="75">
        <v>6072</v>
      </c>
      <c r="B148" s="66" t="s">
        <v>186</v>
      </c>
      <c r="C148" s="66">
        <v>426</v>
      </c>
      <c r="D148" s="66">
        <v>1404</v>
      </c>
      <c r="E148" s="41">
        <v>10</v>
      </c>
      <c r="F148" s="68">
        <v>0</v>
      </c>
      <c r="G148" s="68">
        <v>30000000</v>
      </c>
      <c r="H148" s="68">
        <v>0</v>
      </c>
      <c r="I148" s="58">
        <v>15000000</v>
      </c>
      <c r="J148" s="58">
        <v>0</v>
      </c>
      <c r="K148" s="58">
        <v>0</v>
      </c>
    </row>
    <row r="149" spans="1:11" x14ac:dyDescent="0.25">
      <c r="A149" s="75">
        <v>6075</v>
      </c>
      <c r="B149" s="66" t="s">
        <v>187</v>
      </c>
      <c r="C149" s="66">
        <v>415</v>
      </c>
      <c r="D149" s="66">
        <v>1404</v>
      </c>
      <c r="E149" s="41">
        <v>10</v>
      </c>
      <c r="F149" s="68">
        <v>0</v>
      </c>
      <c r="G149" s="68">
        <v>47718500</v>
      </c>
      <c r="H149" s="68">
        <v>0</v>
      </c>
      <c r="I149" s="58">
        <v>0</v>
      </c>
      <c r="J149" s="58">
        <v>0</v>
      </c>
      <c r="K149" s="58">
        <v>0</v>
      </c>
    </row>
    <row r="150" spans="1:11" x14ac:dyDescent="0.25">
      <c r="A150" s="75">
        <v>6079</v>
      </c>
      <c r="B150" s="66" t="s">
        <v>189</v>
      </c>
      <c r="C150" s="66">
        <v>433</v>
      </c>
      <c r="D150" s="66">
        <v>1404</v>
      </c>
      <c r="E150" s="41">
        <v>10</v>
      </c>
      <c r="F150" s="68">
        <v>29850000</v>
      </c>
      <c r="G150" s="68">
        <v>0</v>
      </c>
      <c r="H150" s="68">
        <v>0</v>
      </c>
      <c r="I150" s="58">
        <v>4000000</v>
      </c>
      <c r="J150" s="58">
        <v>0</v>
      </c>
      <c r="K150" s="58">
        <v>0</v>
      </c>
    </row>
    <row r="151" spans="1:11" x14ac:dyDescent="0.25">
      <c r="A151" s="75">
        <v>6084</v>
      </c>
      <c r="B151" s="66" t="s">
        <v>190</v>
      </c>
      <c r="C151" s="66">
        <v>416</v>
      </c>
      <c r="D151" s="66">
        <v>1404</v>
      </c>
      <c r="E151" s="41">
        <v>10</v>
      </c>
      <c r="F151" s="68">
        <v>19900000</v>
      </c>
      <c r="G151" s="68">
        <v>0</v>
      </c>
      <c r="H151" s="68">
        <v>0</v>
      </c>
      <c r="I151" s="58">
        <v>0</v>
      </c>
      <c r="J151" s="58">
        <v>0</v>
      </c>
      <c r="K151" s="58">
        <v>0</v>
      </c>
    </row>
    <row r="152" spans="1:11" x14ac:dyDescent="0.25">
      <c r="A152" s="75">
        <v>6087</v>
      </c>
      <c r="B152" s="66" t="s">
        <v>191</v>
      </c>
      <c r="C152" s="66">
        <v>443</v>
      </c>
      <c r="D152" s="66">
        <v>1404</v>
      </c>
      <c r="E152" s="41">
        <v>10</v>
      </c>
      <c r="F152" s="68">
        <v>59700000</v>
      </c>
      <c r="G152" s="68">
        <v>80000000</v>
      </c>
      <c r="H152" s="68">
        <v>0</v>
      </c>
      <c r="I152" s="58">
        <v>8200000</v>
      </c>
      <c r="J152" s="58">
        <v>0</v>
      </c>
      <c r="K152" s="58">
        <v>0</v>
      </c>
    </row>
    <row r="153" spans="1:11" x14ac:dyDescent="0.25">
      <c r="A153" s="75">
        <v>6089</v>
      </c>
      <c r="B153" s="66" t="s">
        <v>193</v>
      </c>
      <c r="C153" s="66">
        <v>440</v>
      </c>
      <c r="D153" s="66">
        <v>1404</v>
      </c>
      <c r="E153" s="41">
        <v>10</v>
      </c>
      <c r="F153" s="68">
        <v>49750000</v>
      </c>
      <c r="G153" s="68">
        <v>30000000</v>
      </c>
      <c r="H153" s="68">
        <v>724350</v>
      </c>
      <c r="I153" s="58">
        <v>3300000</v>
      </c>
      <c r="J153" s="58">
        <v>0</v>
      </c>
      <c r="K153" s="58">
        <v>0</v>
      </c>
    </row>
    <row r="154" spans="1:11" x14ac:dyDescent="0.25">
      <c r="A154" s="75">
        <v>6092</v>
      </c>
      <c r="B154" s="66" t="s">
        <v>194</v>
      </c>
      <c r="C154" s="66">
        <v>445</v>
      </c>
      <c r="D154" s="66">
        <v>1404</v>
      </c>
      <c r="E154" s="41">
        <v>10</v>
      </c>
      <c r="F154" s="68">
        <v>9950000</v>
      </c>
      <c r="G154" s="68">
        <v>0</v>
      </c>
      <c r="H154" s="68">
        <v>0</v>
      </c>
      <c r="I154" s="58">
        <v>5400000</v>
      </c>
      <c r="J154" s="58">
        <v>0</v>
      </c>
      <c r="K154" s="58">
        <v>0</v>
      </c>
    </row>
    <row r="155" spans="1:11" x14ac:dyDescent="0.25">
      <c r="A155" s="75">
        <v>6093</v>
      </c>
      <c r="B155" s="66" t="s">
        <v>195</v>
      </c>
      <c r="C155" s="66">
        <v>447</v>
      </c>
      <c r="D155" s="66">
        <v>1404</v>
      </c>
      <c r="E155" s="41">
        <v>10</v>
      </c>
      <c r="F155" s="68">
        <v>39800000</v>
      </c>
      <c r="G155" s="68">
        <v>77717000</v>
      </c>
      <c r="H155" s="68">
        <v>0</v>
      </c>
      <c r="I155" s="58">
        <v>900000</v>
      </c>
      <c r="J155" s="58">
        <v>0</v>
      </c>
      <c r="K155" s="58">
        <v>0</v>
      </c>
    </row>
    <row r="156" spans="1:11" x14ac:dyDescent="0.25">
      <c r="A156" s="75">
        <v>6094</v>
      </c>
      <c r="B156" s="66" t="s">
        <v>196</v>
      </c>
      <c r="C156" s="66">
        <v>448</v>
      </c>
      <c r="D156" s="66">
        <v>1404</v>
      </c>
      <c r="E156" s="41">
        <v>10</v>
      </c>
      <c r="F156" s="68">
        <v>49750000</v>
      </c>
      <c r="G156" s="68">
        <v>30000000</v>
      </c>
      <c r="H156" s="68">
        <v>0</v>
      </c>
      <c r="I156" s="58">
        <v>0</v>
      </c>
      <c r="J156" s="58">
        <v>0</v>
      </c>
      <c r="K156" s="58">
        <v>0</v>
      </c>
    </row>
    <row r="157" spans="1:11" x14ac:dyDescent="0.25">
      <c r="A157" s="75">
        <v>6099</v>
      </c>
      <c r="B157" s="66" t="s">
        <v>199</v>
      </c>
      <c r="C157" s="66">
        <v>468</v>
      </c>
      <c r="D157" s="66">
        <v>1404</v>
      </c>
      <c r="E157" s="41">
        <v>10</v>
      </c>
      <c r="F157" s="68">
        <v>79600000</v>
      </c>
      <c r="G157" s="68">
        <v>100000000</v>
      </c>
      <c r="H157" s="68">
        <v>0</v>
      </c>
      <c r="I157" s="58">
        <v>7500000</v>
      </c>
      <c r="J157" s="58">
        <v>0</v>
      </c>
      <c r="K157" s="58">
        <v>0</v>
      </c>
    </row>
    <row r="158" spans="1:11" x14ac:dyDescent="0.25">
      <c r="A158" s="75">
        <v>6100</v>
      </c>
      <c r="B158" s="66" t="s">
        <v>235</v>
      </c>
      <c r="C158" s="66">
        <v>460</v>
      </c>
      <c r="D158" s="66">
        <v>1404</v>
      </c>
      <c r="E158" s="41">
        <v>10</v>
      </c>
      <c r="F158" s="68">
        <v>0</v>
      </c>
      <c r="G158" s="68">
        <v>30000000</v>
      </c>
      <c r="H158" s="68">
        <v>0</v>
      </c>
      <c r="I158" s="58">
        <v>3000000</v>
      </c>
      <c r="J158" s="58">
        <v>0</v>
      </c>
      <c r="K158" s="58">
        <v>0</v>
      </c>
    </row>
    <row r="159" spans="1:11" x14ac:dyDescent="0.25">
      <c r="A159" s="75">
        <v>6102</v>
      </c>
      <c r="B159" s="66" t="s">
        <v>200</v>
      </c>
      <c r="C159" s="66">
        <v>459</v>
      </c>
      <c r="D159" s="66">
        <v>1404</v>
      </c>
      <c r="E159" s="41">
        <v>10</v>
      </c>
      <c r="F159" s="68">
        <v>19900000</v>
      </c>
      <c r="G159" s="68">
        <v>30000000</v>
      </c>
      <c r="H159" s="68">
        <v>0</v>
      </c>
      <c r="I159" s="58">
        <v>9900000</v>
      </c>
      <c r="J159" s="58">
        <v>0</v>
      </c>
      <c r="K159" s="58">
        <v>0</v>
      </c>
    </row>
    <row r="160" spans="1:11" x14ac:dyDescent="0.25">
      <c r="A160" s="75">
        <v>6103</v>
      </c>
      <c r="B160" s="66" t="s">
        <v>201</v>
      </c>
      <c r="C160" s="66">
        <v>469</v>
      </c>
      <c r="D160" s="66">
        <v>1404</v>
      </c>
      <c r="E160" s="41">
        <v>10</v>
      </c>
      <c r="F160" s="68">
        <v>29850000</v>
      </c>
      <c r="G160" s="68">
        <v>0</v>
      </c>
      <c r="H160" s="68">
        <v>0</v>
      </c>
      <c r="I160" s="58">
        <v>8400000</v>
      </c>
      <c r="J160" s="58">
        <v>0</v>
      </c>
      <c r="K160" s="58">
        <v>0</v>
      </c>
    </row>
    <row r="161" spans="1:11" x14ac:dyDescent="0.25">
      <c r="A161" s="75">
        <v>6104</v>
      </c>
      <c r="B161" s="66" t="s">
        <v>202</v>
      </c>
      <c r="C161" s="66">
        <v>465</v>
      </c>
      <c r="D161" s="66">
        <v>1404</v>
      </c>
      <c r="E161" s="41">
        <v>10</v>
      </c>
      <c r="F161" s="68">
        <v>9950000</v>
      </c>
      <c r="G161" s="68">
        <v>0</v>
      </c>
      <c r="H161" s="68">
        <v>0</v>
      </c>
      <c r="I161" s="58">
        <v>2400000</v>
      </c>
      <c r="J161" s="58">
        <v>0</v>
      </c>
      <c r="K161" s="58">
        <v>0</v>
      </c>
    </row>
    <row r="162" spans="1:11" x14ac:dyDescent="0.25">
      <c r="A162" s="75">
        <v>6105</v>
      </c>
      <c r="B162" s="66" t="s">
        <v>245</v>
      </c>
      <c r="C162" s="66">
        <v>461</v>
      </c>
      <c r="D162" s="66">
        <v>1404</v>
      </c>
      <c r="E162" s="41">
        <v>10</v>
      </c>
      <c r="F162" s="68">
        <v>9950000</v>
      </c>
      <c r="G162" s="68">
        <v>0</v>
      </c>
      <c r="H162" s="68">
        <v>0</v>
      </c>
      <c r="I162" s="58">
        <v>5400000</v>
      </c>
      <c r="J162" s="58">
        <v>0</v>
      </c>
      <c r="K162" s="58">
        <v>0</v>
      </c>
    </row>
    <row r="163" spans="1:11" x14ac:dyDescent="0.25">
      <c r="A163" s="75">
        <v>6107</v>
      </c>
      <c r="B163" s="66" t="s">
        <v>267</v>
      </c>
      <c r="C163" s="66">
        <v>470</v>
      </c>
      <c r="D163" s="66">
        <v>1404</v>
      </c>
      <c r="E163" s="41">
        <v>10</v>
      </c>
      <c r="F163" s="68">
        <v>9950000</v>
      </c>
      <c r="G163" s="68">
        <v>0</v>
      </c>
      <c r="H163" s="68">
        <v>0</v>
      </c>
      <c r="I163" s="58">
        <v>0</v>
      </c>
      <c r="J163" s="58">
        <v>0</v>
      </c>
      <c r="K163" s="58">
        <v>0</v>
      </c>
    </row>
    <row r="164" spans="1:11" x14ac:dyDescent="0.25">
      <c r="A164" s="75">
        <v>6110</v>
      </c>
      <c r="B164" s="66" t="s">
        <v>203</v>
      </c>
      <c r="C164" s="66">
        <v>476</v>
      </c>
      <c r="D164" s="66">
        <v>1404</v>
      </c>
      <c r="E164" s="41">
        <v>10</v>
      </c>
      <c r="F164" s="68">
        <v>9950000</v>
      </c>
      <c r="G164" s="68">
        <v>3000000</v>
      </c>
      <c r="H164" s="68">
        <v>0</v>
      </c>
      <c r="I164" s="58">
        <v>0</v>
      </c>
      <c r="J164" s="58">
        <v>0</v>
      </c>
      <c r="K164" s="58">
        <v>0</v>
      </c>
    </row>
    <row r="165" spans="1:11" x14ac:dyDescent="0.25">
      <c r="A165" s="75">
        <v>6112</v>
      </c>
      <c r="B165" s="66" t="s">
        <v>239</v>
      </c>
      <c r="C165" s="66">
        <v>456</v>
      </c>
      <c r="D165" s="66">
        <v>1404</v>
      </c>
      <c r="E165" s="41">
        <v>10</v>
      </c>
      <c r="F165" s="68">
        <v>9950000</v>
      </c>
      <c r="G165" s="68">
        <v>30000000</v>
      </c>
      <c r="H165" s="68">
        <v>0</v>
      </c>
      <c r="I165" s="58">
        <v>2100000</v>
      </c>
      <c r="J165" s="58">
        <v>0</v>
      </c>
      <c r="K165" s="58">
        <v>0</v>
      </c>
    </row>
    <row r="166" spans="1:11" x14ac:dyDescent="0.25">
      <c r="A166" s="75">
        <v>6113</v>
      </c>
      <c r="B166" s="66" t="s">
        <v>240</v>
      </c>
      <c r="C166" s="66">
        <v>488</v>
      </c>
      <c r="D166" s="66">
        <v>1404</v>
      </c>
      <c r="E166" s="41">
        <v>10</v>
      </c>
      <c r="F166" s="68">
        <v>19900000</v>
      </c>
      <c r="G166" s="68">
        <v>0</v>
      </c>
      <c r="H166" s="68">
        <v>0</v>
      </c>
      <c r="I166" s="58">
        <v>5400000</v>
      </c>
      <c r="J166" s="58">
        <v>0</v>
      </c>
      <c r="K166" s="58">
        <v>0</v>
      </c>
    </row>
    <row r="167" spans="1:11" x14ac:dyDescent="0.25">
      <c r="A167" s="75">
        <v>6114</v>
      </c>
      <c r="B167" s="66" t="s">
        <v>241</v>
      </c>
      <c r="C167" s="66">
        <v>467</v>
      </c>
      <c r="D167" s="66">
        <v>1404</v>
      </c>
      <c r="E167" s="41">
        <v>10</v>
      </c>
      <c r="F167" s="68">
        <v>29850000</v>
      </c>
      <c r="G167" s="68">
        <v>100000000</v>
      </c>
      <c r="H167" s="68">
        <v>0</v>
      </c>
      <c r="I167" s="58">
        <v>1200000</v>
      </c>
      <c r="J167" s="58">
        <v>0</v>
      </c>
      <c r="K167" s="58">
        <v>0</v>
      </c>
    </row>
    <row r="168" spans="1:11" x14ac:dyDescent="0.25">
      <c r="A168" s="75">
        <v>6116</v>
      </c>
      <c r="B168" s="66" t="s">
        <v>242</v>
      </c>
      <c r="C168" s="66">
        <v>485</v>
      </c>
      <c r="D168" s="66">
        <v>1404</v>
      </c>
      <c r="E168" s="41">
        <v>10</v>
      </c>
      <c r="F168" s="68">
        <v>29850000</v>
      </c>
      <c r="G168" s="68">
        <v>30000000</v>
      </c>
      <c r="H168" s="68">
        <v>0</v>
      </c>
      <c r="I168" s="58">
        <v>3300000</v>
      </c>
      <c r="J168" s="58">
        <v>0</v>
      </c>
      <c r="K168" s="58">
        <v>0</v>
      </c>
    </row>
    <row r="169" spans="1:11" x14ac:dyDescent="0.25">
      <c r="A169" s="75">
        <v>6117</v>
      </c>
      <c r="B169" s="66" t="s">
        <v>307</v>
      </c>
      <c r="C169" s="66">
        <v>480</v>
      </c>
      <c r="D169" s="66">
        <v>1404</v>
      </c>
      <c r="E169" s="41">
        <v>10</v>
      </c>
      <c r="F169" s="68">
        <v>29850000</v>
      </c>
      <c r="G169" s="68">
        <v>30000000</v>
      </c>
      <c r="H169" s="68">
        <v>0</v>
      </c>
      <c r="I169" s="58">
        <v>3600000</v>
      </c>
      <c r="J169" s="58">
        <v>0</v>
      </c>
      <c r="K169" s="58">
        <v>0</v>
      </c>
    </row>
    <row r="170" spans="1:11" x14ac:dyDescent="0.25">
      <c r="A170" s="75">
        <v>6118</v>
      </c>
      <c r="B170" s="66" t="s">
        <v>286</v>
      </c>
      <c r="C170" s="66">
        <v>489</v>
      </c>
      <c r="D170" s="66">
        <v>1404</v>
      </c>
      <c r="E170" s="41">
        <v>10</v>
      </c>
      <c r="F170" s="68">
        <v>0</v>
      </c>
      <c r="G170" s="68">
        <v>69427333</v>
      </c>
      <c r="H170" s="68">
        <v>0</v>
      </c>
      <c r="I170" s="58">
        <v>0</v>
      </c>
      <c r="J170" s="58">
        <v>0</v>
      </c>
      <c r="K170" s="58">
        <v>0</v>
      </c>
    </row>
    <row r="171" spans="1:11" x14ac:dyDescent="0.25">
      <c r="A171" s="75">
        <v>6120</v>
      </c>
      <c r="B171" s="66" t="s">
        <v>287</v>
      </c>
      <c r="C171" s="66">
        <v>486</v>
      </c>
      <c r="D171" s="66">
        <v>1404</v>
      </c>
      <c r="E171" s="41">
        <v>10</v>
      </c>
      <c r="F171" s="68">
        <v>0</v>
      </c>
      <c r="G171" s="68">
        <v>30000000</v>
      </c>
      <c r="H171" s="68">
        <v>0</v>
      </c>
      <c r="I171" s="58">
        <v>3600000</v>
      </c>
      <c r="J171" s="58">
        <v>10077750</v>
      </c>
      <c r="K171" s="58">
        <v>0</v>
      </c>
    </row>
    <row r="172" spans="1:11" x14ac:dyDescent="0.25">
      <c r="A172" s="75">
        <v>6122</v>
      </c>
      <c r="B172" s="66" t="s">
        <v>271</v>
      </c>
      <c r="C172" s="66">
        <v>487</v>
      </c>
      <c r="D172" s="66">
        <v>1404</v>
      </c>
      <c r="E172" s="41">
        <v>10</v>
      </c>
      <c r="F172" s="68">
        <v>19900000</v>
      </c>
      <c r="G172" s="68">
        <v>0</v>
      </c>
      <c r="H172" s="68">
        <v>0</v>
      </c>
      <c r="I172" s="58">
        <v>4800000</v>
      </c>
      <c r="J172" s="58">
        <v>0</v>
      </c>
      <c r="K172" s="58">
        <v>0</v>
      </c>
    </row>
    <row r="173" spans="1:11" x14ac:dyDescent="0.25">
      <c r="A173" s="75">
        <v>6123</v>
      </c>
      <c r="B173" s="66" t="s">
        <v>264</v>
      </c>
      <c r="C173" s="66">
        <v>484</v>
      </c>
      <c r="D173" s="66">
        <v>1404</v>
      </c>
      <c r="E173" s="41">
        <v>10</v>
      </c>
      <c r="F173" s="68">
        <v>19900000</v>
      </c>
      <c r="G173" s="68">
        <v>0</v>
      </c>
      <c r="H173" s="68">
        <v>0</v>
      </c>
      <c r="I173" s="58">
        <v>10200000</v>
      </c>
      <c r="J173" s="58">
        <v>0</v>
      </c>
      <c r="K173" s="58">
        <v>0</v>
      </c>
    </row>
    <row r="174" spans="1:11" x14ac:dyDescent="0.25">
      <c r="A174" s="75">
        <v>6124</v>
      </c>
      <c r="B174" s="66" t="s">
        <v>288</v>
      </c>
      <c r="C174" s="66">
        <v>455</v>
      </c>
      <c r="D174" s="66">
        <v>1404</v>
      </c>
      <c r="E174" s="41">
        <v>10</v>
      </c>
      <c r="F174" s="68">
        <v>0</v>
      </c>
      <c r="G174" s="68">
        <v>30000000</v>
      </c>
      <c r="H174" s="68">
        <v>0</v>
      </c>
      <c r="I174" s="58">
        <v>30900000</v>
      </c>
      <c r="J174" s="58">
        <v>0</v>
      </c>
      <c r="K174" s="58">
        <v>0</v>
      </c>
    </row>
    <row r="175" spans="1:11" x14ac:dyDescent="0.25">
      <c r="A175" s="75">
        <v>6125</v>
      </c>
      <c r="B175" s="66" t="s">
        <v>272</v>
      </c>
      <c r="C175" s="66">
        <v>457</v>
      </c>
      <c r="D175" s="66">
        <v>1404</v>
      </c>
      <c r="E175" s="41">
        <v>10</v>
      </c>
      <c r="F175" s="68">
        <v>9950000</v>
      </c>
      <c r="G175" s="68">
        <v>30000000</v>
      </c>
      <c r="H175" s="68">
        <v>0</v>
      </c>
      <c r="I175" s="58">
        <v>5400000</v>
      </c>
      <c r="J175" s="58">
        <v>0</v>
      </c>
      <c r="K175" s="58">
        <v>0</v>
      </c>
    </row>
    <row r="176" spans="1:11" x14ac:dyDescent="0.25">
      <c r="A176" s="75">
        <v>6129</v>
      </c>
      <c r="B176" s="66" t="s">
        <v>289</v>
      </c>
      <c r="C176" s="66">
        <v>494</v>
      </c>
      <c r="D176" s="66">
        <v>1404</v>
      </c>
      <c r="E176" s="41">
        <v>10</v>
      </c>
      <c r="F176" s="68">
        <v>0</v>
      </c>
      <c r="G176" s="68">
        <v>0</v>
      </c>
      <c r="H176" s="68">
        <v>0</v>
      </c>
      <c r="I176" s="58">
        <v>9300000</v>
      </c>
      <c r="J176" s="58">
        <v>0</v>
      </c>
      <c r="K176" s="58">
        <v>0</v>
      </c>
    </row>
    <row r="177" spans="1:11" x14ac:dyDescent="0.25">
      <c r="A177" s="75">
        <v>6132</v>
      </c>
      <c r="B177" s="66" t="s">
        <v>290</v>
      </c>
      <c r="C177" s="66">
        <v>502</v>
      </c>
      <c r="D177" s="66">
        <v>1404</v>
      </c>
      <c r="E177" s="41">
        <v>10</v>
      </c>
      <c r="F177" s="68">
        <v>0</v>
      </c>
      <c r="G177" s="68">
        <v>35211666</v>
      </c>
      <c r="H177" s="68">
        <v>0</v>
      </c>
      <c r="I177" s="58">
        <v>2700000</v>
      </c>
      <c r="J177" s="58">
        <v>0</v>
      </c>
      <c r="K177" s="58">
        <v>0</v>
      </c>
    </row>
    <row r="178" spans="1:11" x14ac:dyDescent="0.25">
      <c r="A178" s="75">
        <v>6133</v>
      </c>
      <c r="B178" s="66" t="s">
        <v>265</v>
      </c>
      <c r="C178" s="66">
        <v>501</v>
      </c>
      <c r="D178" s="66">
        <v>1404</v>
      </c>
      <c r="E178" s="41">
        <v>10</v>
      </c>
      <c r="F178" s="68">
        <v>49750000</v>
      </c>
      <c r="G178" s="68">
        <v>173000000</v>
      </c>
      <c r="H178" s="68">
        <v>0</v>
      </c>
      <c r="I178" s="58">
        <v>5100000</v>
      </c>
      <c r="J178" s="58">
        <v>133333333</v>
      </c>
      <c r="K178" s="58">
        <v>0</v>
      </c>
    </row>
    <row r="179" spans="1:11" x14ac:dyDescent="0.25">
      <c r="A179" s="75">
        <v>6136</v>
      </c>
      <c r="B179" s="66" t="s">
        <v>266</v>
      </c>
      <c r="C179" s="66">
        <v>506</v>
      </c>
      <c r="D179" s="66">
        <v>1404</v>
      </c>
      <c r="E179" s="41">
        <v>10</v>
      </c>
      <c r="F179" s="68">
        <v>29850000</v>
      </c>
      <c r="G179" s="68">
        <v>30000000</v>
      </c>
      <c r="H179" s="68">
        <v>0</v>
      </c>
      <c r="I179" s="58">
        <v>6500000</v>
      </c>
      <c r="J179" s="58">
        <v>0</v>
      </c>
      <c r="K179" s="58">
        <v>0</v>
      </c>
    </row>
    <row r="180" spans="1:11" x14ac:dyDescent="0.25">
      <c r="A180" s="75">
        <v>6137</v>
      </c>
      <c r="B180" s="66" t="s">
        <v>291</v>
      </c>
      <c r="C180" s="66">
        <v>503</v>
      </c>
      <c r="D180" s="66">
        <v>1404</v>
      </c>
      <c r="E180" s="41">
        <v>10</v>
      </c>
      <c r="F180" s="68">
        <v>9950000</v>
      </c>
      <c r="G180" s="68">
        <v>30000000</v>
      </c>
      <c r="H180" s="68">
        <v>0</v>
      </c>
      <c r="I180" s="58">
        <v>3900000</v>
      </c>
      <c r="J180" s="58">
        <v>0</v>
      </c>
      <c r="K180" s="58">
        <v>0</v>
      </c>
    </row>
    <row r="181" spans="1:11" x14ac:dyDescent="0.25">
      <c r="A181" s="75">
        <v>6139</v>
      </c>
      <c r="B181" s="66" t="s">
        <v>273</v>
      </c>
      <c r="C181" s="66">
        <v>505</v>
      </c>
      <c r="D181" s="66">
        <v>1404</v>
      </c>
      <c r="E181" s="41">
        <v>10</v>
      </c>
      <c r="F181" s="68">
        <v>19900000</v>
      </c>
      <c r="G181" s="68">
        <v>0</v>
      </c>
      <c r="H181" s="68">
        <v>0</v>
      </c>
      <c r="I181" s="58">
        <v>7300000</v>
      </c>
      <c r="J181" s="58">
        <v>0</v>
      </c>
      <c r="K181" s="58">
        <v>0</v>
      </c>
    </row>
    <row r="182" spans="1:11" x14ac:dyDescent="0.25">
      <c r="A182" s="75">
        <v>6143</v>
      </c>
      <c r="B182" s="66" t="s">
        <v>274</v>
      </c>
      <c r="C182" s="66">
        <v>508</v>
      </c>
      <c r="D182" s="66">
        <v>1404</v>
      </c>
      <c r="E182" s="41">
        <v>10</v>
      </c>
      <c r="F182" s="68">
        <v>19900000</v>
      </c>
      <c r="G182" s="68">
        <v>30000000</v>
      </c>
      <c r="H182" s="68">
        <v>0</v>
      </c>
      <c r="I182" s="58">
        <v>6500000</v>
      </c>
      <c r="J182" s="58">
        <v>0</v>
      </c>
      <c r="K182" s="58">
        <v>0</v>
      </c>
    </row>
    <row r="183" spans="1:11" x14ac:dyDescent="0.25">
      <c r="A183" s="75">
        <v>6144</v>
      </c>
      <c r="B183" s="66" t="s">
        <v>275</v>
      </c>
      <c r="C183" s="66">
        <v>517</v>
      </c>
      <c r="D183" s="66">
        <v>1404</v>
      </c>
      <c r="E183" s="41">
        <v>10</v>
      </c>
      <c r="F183" s="68">
        <v>19900000</v>
      </c>
      <c r="G183" s="68">
        <v>0</v>
      </c>
      <c r="H183" s="68">
        <v>0</v>
      </c>
      <c r="I183" s="58">
        <v>8800000</v>
      </c>
      <c r="J183" s="58">
        <v>0</v>
      </c>
      <c r="K183" s="58">
        <v>0</v>
      </c>
    </row>
    <row r="184" spans="1:11" x14ac:dyDescent="0.25">
      <c r="A184" s="75">
        <v>6145</v>
      </c>
      <c r="B184" s="66" t="s">
        <v>276</v>
      </c>
      <c r="C184" s="66">
        <v>496</v>
      </c>
      <c r="D184" s="66">
        <v>1404</v>
      </c>
      <c r="E184" s="41">
        <v>10</v>
      </c>
      <c r="F184" s="68">
        <v>19900000</v>
      </c>
      <c r="G184" s="68">
        <v>0</v>
      </c>
      <c r="H184" s="68">
        <v>0</v>
      </c>
      <c r="I184" s="58">
        <v>1500000</v>
      </c>
      <c r="J184" s="58">
        <v>0</v>
      </c>
      <c r="K184" s="58">
        <v>0</v>
      </c>
    </row>
    <row r="185" spans="1:11" x14ac:dyDescent="0.25">
      <c r="A185" s="75">
        <v>6148</v>
      </c>
      <c r="B185" s="66" t="s">
        <v>277</v>
      </c>
      <c r="C185" s="66">
        <v>520</v>
      </c>
      <c r="D185" s="66">
        <v>1404</v>
      </c>
      <c r="E185" s="41">
        <v>10</v>
      </c>
      <c r="F185" s="68">
        <v>29850000</v>
      </c>
      <c r="G185" s="68">
        <v>0</v>
      </c>
      <c r="H185" s="68">
        <v>0</v>
      </c>
      <c r="I185" s="58">
        <v>0</v>
      </c>
      <c r="J185" s="58">
        <v>0</v>
      </c>
      <c r="K185" s="58">
        <v>0</v>
      </c>
    </row>
    <row r="186" spans="1:11" x14ac:dyDescent="0.25">
      <c r="A186" s="75">
        <v>6149</v>
      </c>
      <c r="B186" s="66" t="s">
        <v>278</v>
      </c>
      <c r="C186" s="66">
        <v>512</v>
      </c>
      <c r="D186" s="66">
        <v>1404</v>
      </c>
      <c r="E186" s="41">
        <v>10</v>
      </c>
      <c r="F186" s="68">
        <v>9950000</v>
      </c>
      <c r="G186" s="68">
        <v>170000000</v>
      </c>
      <c r="H186" s="68">
        <v>0</v>
      </c>
      <c r="I186" s="58">
        <v>6200000</v>
      </c>
      <c r="J186" s="58">
        <v>50000000</v>
      </c>
      <c r="K186" s="58">
        <v>0</v>
      </c>
    </row>
    <row r="187" spans="1:11" x14ac:dyDescent="0.25">
      <c r="A187" s="75">
        <v>6150</v>
      </c>
      <c r="B187" s="66" t="s">
        <v>279</v>
      </c>
      <c r="C187" s="66">
        <v>518</v>
      </c>
      <c r="D187" s="66">
        <v>1404</v>
      </c>
      <c r="E187" s="41">
        <v>10</v>
      </c>
      <c r="F187" s="68">
        <v>9950000</v>
      </c>
      <c r="G187" s="68">
        <v>40000000</v>
      </c>
      <c r="H187" s="68">
        <v>0</v>
      </c>
      <c r="I187" s="58">
        <v>6900000</v>
      </c>
      <c r="J187" s="58">
        <v>0</v>
      </c>
      <c r="K187" s="58">
        <v>0</v>
      </c>
    </row>
    <row r="188" spans="1:11" x14ac:dyDescent="0.25">
      <c r="A188" s="75">
        <v>6152</v>
      </c>
      <c r="B188" s="66" t="s">
        <v>292</v>
      </c>
      <c r="C188" s="66">
        <v>519</v>
      </c>
      <c r="D188" s="66">
        <v>1404</v>
      </c>
      <c r="E188" s="41">
        <v>10</v>
      </c>
      <c r="F188" s="68">
        <v>0</v>
      </c>
      <c r="G188" s="68">
        <v>110000000</v>
      </c>
      <c r="H188" s="68">
        <v>0</v>
      </c>
      <c r="I188" s="58">
        <v>300000</v>
      </c>
      <c r="J188" s="58">
        <v>0</v>
      </c>
      <c r="K188" s="58">
        <v>0</v>
      </c>
    </row>
    <row r="189" spans="1:11" x14ac:dyDescent="0.25">
      <c r="A189" s="75">
        <v>6153</v>
      </c>
      <c r="B189" s="66" t="s">
        <v>302</v>
      </c>
      <c r="C189" s="66">
        <v>529</v>
      </c>
      <c r="D189" s="66">
        <v>1404</v>
      </c>
      <c r="E189" s="41">
        <v>10</v>
      </c>
      <c r="F189" s="68">
        <v>0</v>
      </c>
      <c r="G189" s="68">
        <v>40000000</v>
      </c>
      <c r="H189" s="68">
        <v>0</v>
      </c>
      <c r="I189" s="58">
        <v>0</v>
      </c>
      <c r="J189" s="58">
        <v>0</v>
      </c>
      <c r="K189" s="58">
        <v>0</v>
      </c>
    </row>
    <row r="190" spans="1:11" x14ac:dyDescent="0.25">
      <c r="A190" s="75">
        <v>6154</v>
      </c>
      <c r="B190" s="66" t="s">
        <v>280</v>
      </c>
      <c r="C190" s="66">
        <v>515</v>
      </c>
      <c r="D190" s="66">
        <v>1404</v>
      </c>
      <c r="E190" s="41">
        <v>10</v>
      </c>
      <c r="F190" s="68">
        <v>39800000</v>
      </c>
      <c r="G190" s="68">
        <v>0</v>
      </c>
      <c r="H190" s="68">
        <v>0</v>
      </c>
      <c r="I190" s="58">
        <v>5400000</v>
      </c>
      <c r="J190" s="58">
        <v>0</v>
      </c>
      <c r="K190" s="58">
        <v>0</v>
      </c>
    </row>
    <row r="191" spans="1:11" x14ac:dyDescent="0.25">
      <c r="A191" s="75">
        <v>6155</v>
      </c>
      <c r="B191" s="66" t="s">
        <v>281</v>
      </c>
      <c r="C191" s="66">
        <v>516</v>
      </c>
      <c r="D191" s="66">
        <v>1404</v>
      </c>
      <c r="E191" s="41">
        <v>10</v>
      </c>
      <c r="F191" s="68">
        <v>19900000</v>
      </c>
      <c r="G191" s="68">
        <v>0</v>
      </c>
      <c r="H191" s="68">
        <v>0</v>
      </c>
      <c r="I191" s="58">
        <v>4200000</v>
      </c>
      <c r="J191" s="58">
        <v>0</v>
      </c>
      <c r="K191" s="58">
        <v>0</v>
      </c>
    </row>
    <row r="192" spans="1:11" x14ac:dyDescent="0.25">
      <c r="A192" s="75">
        <v>6156</v>
      </c>
      <c r="B192" s="66" t="s">
        <v>293</v>
      </c>
      <c r="C192" s="66">
        <v>528</v>
      </c>
      <c r="D192" s="66">
        <v>1404</v>
      </c>
      <c r="E192" s="41">
        <v>10</v>
      </c>
      <c r="F192" s="68">
        <v>0</v>
      </c>
      <c r="G192" s="68">
        <v>0</v>
      </c>
      <c r="H192" s="68">
        <v>0</v>
      </c>
      <c r="I192" s="58">
        <v>600000</v>
      </c>
      <c r="J192" s="58">
        <v>0</v>
      </c>
      <c r="K192" s="58">
        <v>0</v>
      </c>
    </row>
    <row r="193" spans="1:11" x14ac:dyDescent="0.25">
      <c r="A193" s="75">
        <v>6160</v>
      </c>
      <c r="B193" s="66" t="s">
        <v>294</v>
      </c>
      <c r="C193" s="66">
        <v>533</v>
      </c>
      <c r="D193" s="66">
        <v>1404</v>
      </c>
      <c r="E193" s="41">
        <v>10</v>
      </c>
      <c r="F193" s="68">
        <v>19900000</v>
      </c>
      <c r="G193" s="68">
        <v>0</v>
      </c>
      <c r="H193" s="68">
        <v>0</v>
      </c>
      <c r="I193" s="58">
        <v>2300000</v>
      </c>
      <c r="J193" s="58">
        <v>0</v>
      </c>
      <c r="K193" s="58">
        <v>0</v>
      </c>
    </row>
    <row r="194" spans="1:11" x14ac:dyDescent="0.25">
      <c r="A194" s="75">
        <v>6166</v>
      </c>
      <c r="B194" s="66" t="s">
        <v>295</v>
      </c>
      <c r="C194" s="66">
        <v>521</v>
      </c>
      <c r="D194" s="66">
        <v>1404</v>
      </c>
      <c r="E194" s="41">
        <v>10</v>
      </c>
      <c r="F194" s="68">
        <v>19900000</v>
      </c>
      <c r="G194" s="68">
        <v>0</v>
      </c>
      <c r="H194" s="68">
        <v>0</v>
      </c>
      <c r="I194" s="58">
        <v>0</v>
      </c>
      <c r="J194" s="58">
        <v>0</v>
      </c>
      <c r="K194" s="58">
        <v>0</v>
      </c>
    </row>
    <row r="195" spans="1:11" x14ac:dyDescent="0.25">
      <c r="A195" s="75">
        <v>6167</v>
      </c>
      <c r="B195" s="66" t="s">
        <v>282</v>
      </c>
      <c r="C195" s="66">
        <v>537</v>
      </c>
      <c r="D195" s="66">
        <v>1404</v>
      </c>
      <c r="E195" s="41">
        <v>10</v>
      </c>
      <c r="F195" s="68">
        <v>19900000</v>
      </c>
      <c r="G195" s="68">
        <v>3000000</v>
      </c>
      <c r="H195" s="68">
        <v>0</v>
      </c>
      <c r="I195" s="58">
        <v>10400000</v>
      </c>
      <c r="J195" s="58">
        <v>0</v>
      </c>
      <c r="K195" s="58">
        <v>0</v>
      </c>
    </row>
    <row r="196" spans="1:11" x14ac:dyDescent="0.25">
      <c r="A196" s="75">
        <v>6168</v>
      </c>
      <c r="B196" s="66" t="s">
        <v>296</v>
      </c>
      <c r="C196" s="66">
        <v>523</v>
      </c>
      <c r="D196" s="66">
        <v>1404</v>
      </c>
      <c r="E196" s="41">
        <v>10</v>
      </c>
      <c r="F196" s="68">
        <v>9950000</v>
      </c>
      <c r="G196" s="68">
        <v>0</v>
      </c>
      <c r="H196" s="68">
        <v>0</v>
      </c>
      <c r="I196" s="58">
        <v>0</v>
      </c>
      <c r="J196" s="58">
        <v>0</v>
      </c>
      <c r="K196" s="58">
        <v>0</v>
      </c>
    </row>
    <row r="197" spans="1:11" x14ac:dyDescent="0.25">
      <c r="A197" s="75">
        <v>6170</v>
      </c>
      <c r="B197" s="66" t="s">
        <v>297</v>
      </c>
      <c r="C197" s="66">
        <v>539</v>
      </c>
      <c r="D197" s="66">
        <v>1404</v>
      </c>
      <c r="E197" s="41">
        <v>10</v>
      </c>
      <c r="F197" s="68">
        <v>29850000</v>
      </c>
      <c r="G197" s="68">
        <v>0</v>
      </c>
      <c r="H197" s="68">
        <v>0</v>
      </c>
      <c r="I197" s="58">
        <v>4600000</v>
      </c>
      <c r="J197" s="58">
        <v>0</v>
      </c>
      <c r="K197" s="58">
        <v>0</v>
      </c>
    </row>
    <row r="198" spans="1:11" x14ac:dyDescent="0.25">
      <c r="A198" s="75">
        <v>6173</v>
      </c>
      <c r="B198" s="66" t="s">
        <v>303</v>
      </c>
      <c r="C198" s="66">
        <v>575</v>
      </c>
      <c r="D198" s="66">
        <v>1404</v>
      </c>
      <c r="E198" s="41">
        <v>10</v>
      </c>
      <c r="F198" s="68">
        <v>89550000</v>
      </c>
      <c r="G198" s="68">
        <v>0</v>
      </c>
      <c r="H198" s="68">
        <v>0</v>
      </c>
      <c r="I198" s="58">
        <v>5300000</v>
      </c>
      <c r="J198" s="58">
        <v>100000000</v>
      </c>
      <c r="K198" s="58">
        <v>0</v>
      </c>
    </row>
    <row r="199" spans="1:11" x14ac:dyDescent="0.25">
      <c r="A199" s="75">
        <v>6177</v>
      </c>
      <c r="B199" s="66" t="s">
        <v>298</v>
      </c>
      <c r="C199" s="66">
        <v>587</v>
      </c>
      <c r="D199" s="66">
        <v>1404</v>
      </c>
      <c r="E199" s="41">
        <v>10</v>
      </c>
      <c r="F199" s="68">
        <v>39800000</v>
      </c>
      <c r="G199" s="68">
        <v>0</v>
      </c>
      <c r="H199" s="68">
        <v>0</v>
      </c>
      <c r="I199" s="58">
        <v>0</v>
      </c>
      <c r="J199" s="58">
        <v>0</v>
      </c>
      <c r="K199" s="58">
        <v>0</v>
      </c>
    </row>
    <row r="200" spans="1:11" x14ac:dyDescent="0.25">
      <c r="A200" s="75">
        <v>6178</v>
      </c>
      <c r="B200" s="66" t="s">
        <v>304</v>
      </c>
      <c r="C200" s="66">
        <v>592</v>
      </c>
      <c r="D200" s="66">
        <v>1404</v>
      </c>
      <c r="E200" s="41">
        <v>10</v>
      </c>
      <c r="F200" s="68">
        <v>59700000</v>
      </c>
      <c r="G200" s="68">
        <v>0</v>
      </c>
      <c r="H200" s="68">
        <v>0</v>
      </c>
      <c r="I200" s="58">
        <v>4500000</v>
      </c>
      <c r="J200" s="58">
        <v>0</v>
      </c>
      <c r="K200" s="58">
        <v>0</v>
      </c>
    </row>
    <row r="201" spans="1:11" x14ac:dyDescent="0.25">
      <c r="A201" s="75">
        <v>6180</v>
      </c>
      <c r="B201" s="66" t="s">
        <v>308</v>
      </c>
      <c r="C201" s="66">
        <v>595</v>
      </c>
      <c r="D201" s="66">
        <v>1404</v>
      </c>
      <c r="E201" s="41">
        <v>10</v>
      </c>
      <c r="F201" s="68">
        <v>119400000</v>
      </c>
      <c r="G201" s="68">
        <v>0</v>
      </c>
      <c r="H201" s="68">
        <v>0</v>
      </c>
      <c r="I201" s="58">
        <v>0</v>
      </c>
      <c r="J201" s="58">
        <v>0</v>
      </c>
      <c r="K201" s="58">
        <v>0</v>
      </c>
    </row>
    <row r="202" spans="1:11" x14ac:dyDescent="0.25">
      <c r="A202" s="75">
        <v>6181</v>
      </c>
      <c r="B202" s="66" t="s">
        <v>305</v>
      </c>
      <c r="C202" s="66">
        <v>601</v>
      </c>
      <c r="D202" s="66">
        <v>1404</v>
      </c>
      <c r="E202" s="41">
        <v>10</v>
      </c>
      <c r="F202" s="68">
        <v>19900000</v>
      </c>
      <c r="G202" s="68">
        <v>60000000</v>
      </c>
      <c r="H202" s="68">
        <v>0</v>
      </c>
      <c r="I202" s="58">
        <v>5900000</v>
      </c>
      <c r="J202" s="58">
        <v>0</v>
      </c>
      <c r="K202" s="58">
        <v>0</v>
      </c>
    </row>
    <row r="203" spans="1:11" x14ac:dyDescent="0.25">
      <c r="A203" s="75">
        <v>6182</v>
      </c>
      <c r="B203" s="66" t="s">
        <v>306</v>
      </c>
      <c r="C203" s="66">
        <v>598</v>
      </c>
      <c r="D203" s="66">
        <v>1404</v>
      </c>
      <c r="E203" s="41">
        <v>10</v>
      </c>
      <c r="F203" s="68">
        <v>0</v>
      </c>
      <c r="G203" s="68">
        <v>0</v>
      </c>
      <c r="H203" s="68">
        <v>0</v>
      </c>
      <c r="I203" s="58">
        <v>1500000</v>
      </c>
      <c r="J203" s="58">
        <v>0</v>
      </c>
      <c r="K203" s="58">
        <v>0</v>
      </c>
    </row>
    <row r="204" spans="1:11" x14ac:dyDescent="0.25">
      <c r="A204" s="75">
        <v>6189</v>
      </c>
      <c r="B204" s="66" t="s">
        <v>301</v>
      </c>
      <c r="C204" s="66">
        <v>597</v>
      </c>
      <c r="D204" s="66">
        <v>1404</v>
      </c>
      <c r="E204" s="41">
        <v>10</v>
      </c>
      <c r="F204" s="68">
        <v>0</v>
      </c>
      <c r="G204" s="68">
        <v>0</v>
      </c>
      <c r="H204" s="68">
        <v>0</v>
      </c>
      <c r="I204" s="58">
        <v>4800000</v>
      </c>
      <c r="J204" s="58">
        <v>0</v>
      </c>
      <c r="K204" s="58">
        <v>0</v>
      </c>
    </row>
    <row r="205" spans="1:11" x14ac:dyDescent="0.25">
      <c r="A205" s="75">
        <v>6199</v>
      </c>
      <c r="B205" s="66" t="s">
        <v>309</v>
      </c>
      <c r="C205" s="66">
        <v>610</v>
      </c>
      <c r="D205" s="66">
        <v>1404</v>
      </c>
      <c r="E205" s="41">
        <v>10</v>
      </c>
      <c r="F205" s="68">
        <v>0</v>
      </c>
      <c r="G205" s="68">
        <v>0</v>
      </c>
      <c r="H205" s="68">
        <v>0</v>
      </c>
      <c r="I205" s="58">
        <v>23500000</v>
      </c>
      <c r="J205" s="58">
        <v>0</v>
      </c>
      <c r="K205" s="58">
        <v>0</v>
      </c>
    </row>
    <row r="206" spans="1:11" x14ac:dyDescent="0.25">
      <c r="A206" s="75">
        <v>6447</v>
      </c>
      <c r="B206" s="66" t="s">
        <v>204</v>
      </c>
      <c r="C206" s="66">
        <v>91</v>
      </c>
      <c r="D206" s="66">
        <v>1404</v>
      </c>
      <c r="E206" s="41">
        <v>10</v>
      </c>
      <c r="F206" s="68">
        <v>29850000</v>
      </c>
      <c r="G206" s="68">
        <v>0</v>
      </c>
      <c r="H206" s="68">
        <v>0</v>
      </c>
      <c r="I206" s="58">
        <v>0</v>
      </c>
      <c r="J206" s="58">
        <v>0</v>
      </c>
      <c r="K206" s="58">
        <v>0</v>
      </c>
    </row>
  </sheetData>
  <autoFilter ref="A1:K206" xr:uid="{BBBC131F-D018-4F77-B8ED-30A3054FC84E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1925-89BA-4162-B172-0BB365E25D0F}">
  <dimension ref="A1:K204"/>
  <sheetViews>
    <sheetView rightToLeft="1" tabSelected="1" workbookViewId="0">
      <pane ySplit="1" topLeftCell="A189" activePane="bottomLeft" state="frozen"/>
      <selection pane="bottomLeft" activeCell="K1" sqref="K1:K1048576"/>
    </sheetView>
  </sheetViews>
  <sheetFormatPr defaultRowHeight="22.5" x14ac:dyDescent="0.65"/>
  <cols>
    <col min="1" max="1" width="11.75" style="85" bestFit="1" customWidth="1"/>
    <col min="2" max="2" width="24.25" style="85" bestFit="1" customWidth="1"/>
    <col min="3" max="3" width="12.375" style="85" bestFit="1" customWidth="1"/>
    <col min="4" max="4" width="7.375" style="85" bestFit="1" customWidth="1"/>
    <col min="5" max="5" width="6.625" style="85" bestFit="1" customWidth="1"/>
    <col min="6" max="11" width="15.625" style="86" customWidth="1"/>
    <col min="12" max="16384" width="9" style="21"/>
  </cols>
  <sheetData>
    <row r="1" spans="1:11" x14ac:dyDescent="0.65">
      <c r="A1" s="79" t="s">
        <v>0</v>
      </c>
      <c r="B1" s="80" t="s">
        <v>1</v>
      </c>
      <c r="C1" s="80" t="s">
        <v>248</v>
      </c>
      <c r="D1" s="80" t="s">
        <v>283</v>
      </c>
      <c r="E1" s="80" t="s">
        <v>206</v>
      </c>
      <c r="F1" s="81" t="s">
        <v>209</v>
      </c>
      <c r="G1" s="81" t="s">
        <v>207</v>
      </c>
      <c r="H1" s="81" t="s">
        <v>208</v>
      </c>
      <c r="I1" s="81" t="s">
        <v>311</v>
      </c>
      <c r="J1" s="81" t="s">
        <v>312</v>
      </c>
      <c r="K1" s="81" t="s">
        <v>310</v>
      </c>
    </row>
    <row r="2" spans="1:11" x14ac:dyDescent="0.65">
      <c r="A2" s="82">
        <v>3567</v>
      </c>
      <c r="B2" s="83" t="s">
        <v>3</v>
      </c>
      <c r="C2" s="83">
        <f>VLOOKUP(A2,دی!A:C,3,0)</f>
        <v>57</v>
      </c>
      <c r="D2" s="83">
        <v>1404</v>
      </c>
      <c r="E2" s="83">
        <v>11</v>
      </c>
      <c r="F2" s="84">
        <v>19900000</v>
      </c>
      <c r="G2" s="84">
        <v>0</v>
      </c>
      <c r="H2" s="84">
        <v>0</v>
      </c>
      <c r="I2" s="84">
        <v>0</v>
      </c>
      <c r="J2" s="84">
        <v>0</v>
      </c>
      <c r="K2" s="84">
        <v>9300000</v>
      </c>
    </row>
    <row r="3" spans="1:11" x14ac:dyDescent="0.65">
      <c r="A3" s="82">
        <v>3607</v>
      </c>
      <c r="B3" s="83" t="s">
        <v>4</v>
      </c>
      <c r="C3" s="83">
        <f>VLOOKUP(A3,دی!A:C,3,0)</f>
        <v>119</v>
      </c>
      <c r="D3" s="83">
        <v>1404</v>
      </c>
      <c r="E3" s="83">
        <v>11</v>
      </c>
      <c r="F3" s="84">
        <v>49750000</v>
      </c>
      <c r="G3" s="84">
        <v>30000000</v>
      </c>
      <c r="H3" s="84">
        <v>0</v>
      </c>
      <c r="I3" s="84">
        <v>0</v>
      </c>
      <c r="J3" s="84">
        <v>0</v>
      </c>
      <c r="K3" s="84">
        <v>8800000</v>
      </c>
    </row>
    <row r="4" spans="1:11" x14ac:dyDescent="0.65">
      <c r="A4" s="82">
        <v>3653</v>
      </c>
      <c r="B4" s="83" t="s">
        <v>5</v>
      </c>
      <c r="C4" s="83">
        <f>VLOOKUP(A4,دی!A:C,3,0)</f>
        <v>34</v>
      </c>
      <c r="D4" s="83">
        <v>1404</v>
      </c>
      <c r="E4" s="83">
        <v>11</v>
      </c>
      <c r="F4" s="84">
        <v>49750000</v>
      </c>
      <c r="G4" s="84">
        <v>0</v>
      </c>
      <c r="H4" s="84">
        <v>0</v>
      </c>
      <c r="I4" s="84">
        <v>0</v>
      </c>
      <c r="J4" s="84">
        <v>0</v>
      </c>
      <c r="K4" s="84">
        <v>11600000</v>
      </c>
    </row>
    <row r="5" spans="1:11" x14ac:dyDescent="0.65">
      <c r="A5" s="82">
        <v>4590</v>
      </c>
      <c r="B5" s="83" t="s">
        <v>6</v>
      </c>
      <c r="C5" s="83">
        <f>VLOOKUP(A5,دی!A:C,3,0)</f>
        <v>30</v>
      </c>
      <c r="D5" s="83">
        <v>1404</v>
      </c>
      <c r="E5" s="83">
        <v>11</v>
      </c>
      <c r="F5" s="84">
        <v>0</v>
      </c>
      <c r="G5" s="84">
        <v>60000000</v>
      </c>
      <c r="H5" s="84">
        <v>0</v>
      </c>
      <c r="I5" s="84">
        <v>0</v>
      </c>
      <c r="J5" s="84">
        <v>0</v>
      </c>
      <c r="K5" s="84">
        <v>0</v>
      </c>
    </row>
    <row r="6" spans="1:11" x14ac:dyDescent="0.65">
      <c r="A6" s="82">
        <v>4597</v>
      </c>
      <c r="B6" s="83" t="s">
        <v>7</v>
      </c>
      <c r="C6" s="83">
        <f>VLOOKUP(A6,دی!A:C,3,0)</f>
        <v>38</v>
      </c>
      <c r="D6" s="83">
        <v>1404</v>
      </c>
      <c r="E6" s="83">
        <v>11</v>
      </c>
      <c r="F6" s="84">
        <v>39800000</v>
      </c>
      <c r="G6" s="84">
        <v>0</v>
      </c>
      <c r="H6" s="84">
        <v>0</v>
      </c>
      <c r="I6" s="84">
        <v>0</v>
      </c>
      <c r="J6" s="84">
        <v>0</v>
      </c>
      <c r="K6" s="84">
        <v>2000000</v>
      </c>
    </row>
    <row r="7" spans="1:11" x14ac:dyDescent="0.65">
      <c r="A7" s="82">
        <v>4598</v>
      </c>
      <c r="B7" s="83" t="s">
        <v>8</v>
      </c>
      <c r="C7" s="83">
        <f>VLOOKUP(A7,دی!A:C,3,0)</f>
        <v>129</v>
      </c>
      <c r="D7" s="83">
        <v>1404</v>
      </c>
      <c r="E7" s="83">
        <v>11</v>
      </c>
      <c r="F7" s="84">
        <v>39800000</v>
      </c>
      <c r="G7" s="84">
        <v>40000000</v>
      </c>
      <c r="H7" s="84">
        <v>0</v>
      </c>
      <c r="I7" s="84">
        <v>0</v>
      </c>
      <c r="J7" s="84">
        <v>0</v>
      </c>
      <c r="K7" s="84">
        <v>12200000</v>
      </c>
    </row>
    <row r="8" spans="1:11" x14ac:dyDescent="0.65">
      <c r="A8" s="82">
        <v>4614</v>
      </c>
      <c r="B8" s="83" t="s">
        <v>9</v>
      </c>
      <c r="C8" s="83">
        <f>VLOOKUP(A8,دی!A:C,3,0)</f>
        <v>140</v>
      </c>
      <c r="D8" s="83">
        <v>1404</v>
      </c>
      <c r="E8" s="83">
        <v>11</v>
      </c>
      <c r="F8" s="84">
        <v>9950000</v>
      </c>
      <c r="G8" s="84">
        <v>0</v>
      </c>
      <c r="H8" s="84">
        <v>0</v>
      </c>
      <c r="I8" s="84">
        <v>0</v>
      </c>
      <c r="J8" s="84">
        <v>0</v>
      </c>
      <c r="K8" s="84">
        <v>15600000</v>
      </c>
    </row>
    <row r="9" spans="1:11" x14ac:dyDescent="0.65">
      <c r="A9" s="82">
        <v>4622</v>
      </c>
      <c r="B9" s="83" t="s">
        <v>11</v>
      </c>
      <c r="C9" s="83">
        <f>VLOOKUP(A9,دی!A:C,3,0)</f>
        <v>35</v>
      </c>
      <c r="D9" s="83">
        <v>1404</v>
      </c>
      <c r="E9" s="83">
        <v>11</v>
      </c>
      <c r="F9" s="84">
        <v>39800000</v>
      </c>
      <c r="G9" s="84">
        <v>30000000</v>
      </c>
      <c r="H9" s="84">
        <v>0</v>
      </c>
      <c r="I9" s="84">
        <v>0</v>
      </c>
      <c r="J9" s="84">
        <v>0</v>
      </c>
      <c r="K9" s="84">
        <v>0</v>
      </c>
    </row>
    <row r="10" spans="1:11" x14ac:dyDescent="0.65">
      <c r="A10" s="82">
        <v>4636</v>
      </c>
      <c r="B10" s="83" t="s">
        <v>12</v>
      </c>
      <c r="C10" s="83">
        <f>VLOOKUP(A10,دی!A:C,3,0)</f>
        <v>62</v>
      </c>
      <c r="D10" s="83">
        <v>1404</v>
      </c>
      <c r="E10" s="83">
        <v>11</v>
      </c>
      <c r="F10" s="84">
        <v>59700000</v>
      </c>
      <c r="G10" s="84">
        <v>100000000</v>
      </c>
      <c r="H10" s="84">
        <v>0</v>
      </c>
      <c r="I10" s="84">
        <v>0</v>
      </c>
      <c r="J10" s="84">
        <v>0</v>
      </c>
      <c r="K10" s="84">
        <v>0</v>
      </c>
    </row>
    <row r="11" spans="1:11" x14ac:dyDescent="0.65">
      <c r="A11" s="82">
        <v>4648</v>
      </c>
      <c r="B11" s="83" t="s">
        <v>15</v>
      </c>
      <c r="C11" s="83">
        <f>VLOOKUP(A11,دی!A:C,3,0)</f>
        <v>160</v>
      </c>
      <c r="D11" s="83">
        <v>1404</v>
      </c>
      <c r="E11" s="83">
        <v>11</v>
      </c>
      <c r="F11" s="84">
        <v>29850000</v>
      </c>
      <c r="G11" s="84">
        <v>0</v>
      </c>
      <c r="H11" s="84">
        <v>0</v>
      </c>
      <c r="I11" s="84">
        <v>0</v>
      </c>
      <c r="J11" s="84">
        <v>0</v>
      </c>
      <c r="K11" s="84">
        <v>12200000</v>
      </c>
    </row>
    <row r="12" spans="1:11" x14ac:dyDescent="0.65">
      <c r="A12" s="82">
        <v>4651</v>
      </c>
      <c r="B12" s="83" t="s">
        <v>16</v>
      </c>
      <c r="C12" s="83">
        <f>VLOOKUP(A12,دی!A:C,3,0)</f>
        <v>52</v>
      </c>
      <c r="D12" s="83">
        <v>1404</v>
      </c>
      <c r="E12" s="83">
        <v>11</v>
      </c>
      <c r="F12" s="84">
        <v>69650000</v>
      </c>
      <c r="G12" s="84">
        <v>30000000</v>
      </c>
      <c r="H12" s="84">
        <v>0</v>
      </c>
      <c r="I12" s="84">
        <v>0</v>
      </c>
      <c r="J12" s="84">
        <v>0</v>
      </c>
      <c r="K12" s="84">
        <v>36000000</v>
      </c>
    </row>
    <row r="13" spans="1:11" x14ac:dyDescent="0.65">
      <c r="A13" s="82">
        <v>4654</v>
      </c>
      <c r="B13" s="83" t="s">
        <v>18</v>
      </c>
      <c r="C13" s="83">
        <f>VLOOKUP(A13,دی!A:C,3,0)</f>
        <v>85</v>
      </c>
      <c r="D13" s="83">
        <v>1404</v>
      </c>
      <c r="E13" s="83">
        <v>11</v>
      </c>
      <c r="F13" s="84">
        <v>39800000</v>
      </c>
      <c r="G13" s="84">
        <v>0</v>
      </c>
      <c r="H13" s="84">
        <v>0</v>
      </c>
      <c r="I13" s="84">
        <v>0</v>
      </c>
      <c r="J13" s="84">
        <v>0</v>
      </c>
      <c r="K13" s="84">
        <v>8500000</v>
      </c>
    </row>
    <row r="14" spans="1:11" x14ac:dyDescent="0.65">
      <c r="A14" s="82">
        <v>4656</v>
      </c>
      <c r="B14" s="83" t="s">
        <v>20</v>
      </c>
      <c r="C14" s="83">
        <f>VLOOKUP(A14,دی!A:C,3,0)</f>
        <v>39</v>
      </c>
      <c r="D14" s="83">
        <v>1404</v>
      </c>
      <c r="E14" s="83">
        <v>11</v>
      </c>
      <c r="F14" s="84">
        <v>0</v>
      </c>
      <c r="G14" s="84">
        <v>90000000</v>
      </c>
      <c r="H14" s="84">
        <v>0</v>
      </c>
      <c r="I14" s="84">
        <v>0</v>
      </c>
      <c r="J14" s="84">
        <v>0</v>
      </c>
      <c r="K14" s="84">
        <v>8800000</v>
      </c>
    </row>
    <row r="15" spans="1:11" x14ac:dyDescent="0.65">
      <c r="A15" s="82">
        <v>4657</v>
      </c>
      <c r="B15" s="83" t="s">
        <v>21</v>
      </c>
      <c r="C15" s="83">
        <f>VLOOKUP(A15,دی!A:C,3,0)</f>
        <v>71</v>
      </c>
      <c r="D15" s="83">
        <v>1404</v>
      </c>
      <c r="E15" s="83">
        <v>11</v>
      </c>
      <c r="F15" s="84">
        <v>39800000</v>
      </c>
      <c r="G15" s="84">
        <v>40000000</v>
      </c>
      <c r="H15" s="84">
        <v>0</v>
      </c>
      <c r="I15" s="84">
        <v>0</v>
      </c>
      <c r="J15" s="84">
        <v>0</v>
      </c>
      <c r="K15" s="84">
        <v>36000000</v>
      </c>
    </row>
    <row r="16" spans="1:11" x14ac:dyDescent="0.65">
      <c r="A16" s="82">
        <v>4660</v>
      </c>
      <c r="B16" s="83" t="s">
        <v>23</v>
      </c>
      <c r="C16" s="83">
        <f>VLOOKUP(A16,دی!A:C,3,0)</f>
        <v>72</v>
      </c>
      <c r="D16" s="83">
        <v>1404</v>
      </c>
      <c r="E16" s="83">
        <v>11</v>
      </c>
      <c r="F16" s="84">
        <v>39800000</v>
      </c>
      <c r="G16" s="84">
        <v>40000000</v>
      </c>
      <c r="H16" s="84">
        <v>0</v>
      </c>
      <c r="I16" s="84">
        <v>0</v>
      </c>
      <c r="J16" s="84">
        <v>0</v>
      </c>
      <c r="K16" s="84">
        <v>0</v>
      </c>
    </row>
    <row r="17" spans="1:11" x14ac:dyDescent="0.65">
      <c r="A17" s="82">
        <v>4663</v>
      </c>
      <c r="B17" s="83" t="s">
        <v>25</v>
      </c>
      <c r="C17" s="83">
        <f>VLOOKUP(A17,دی!A:C,3,0)</f>
        <v>70</v>
      </c>
      <c r="D17" s="83">
        <v>1404</v>
      </c>
      <c r="E17" s="83">
        <v>11</v>
      </c>
      <c r="F17" s="84">
        <v>79600000</v>
      </c>
      <c r="G17" s="84">
        <v>60000000</v>
      </c>
      <c r="H17" s="84">
        <v>0</v>
      </c>
      <c r="I17" s="84">
        <v>0</v>
      </c>
      <c r="J17" s="84">
        <v>0</v>
      </c>
      <c r="K17" s="84">
        <v>7100000</v>
      </c>
    </row>
    <row r="18" spans="1:11" x14ac:dyDescent="0.65">
      <c r="A18" s="82">
        <v>4664</v>
      </c>
      <c r="B18" s="83" t="s">
        <v>26</v>
      </c>
      <c r="C18" s="83">
        <f>VLOOKUP(A18,دی!A:C,3,0)</f>
        <v>65</v>
      </c>
      <c r="D18" s="83">
        <v>1404</v>
      </c>
      <c r="E18" s="83">
        <v>11</v>
      </c>
      <c r="F18" s="84">
        <v>39800000</v>
      </c>
      <c r="G18" s="84">
        <v>20000000</v>
      </c>
      <c r="H18" s="84">
        <v>0</v>
      </c>
      <c r="I18" s="84">
        <v>0</v>
      </c>
      <c r="J18" s="84">
        <v>0</v>
      </c>
      <c r="K18" s="84">
        <v>7100000</v>
      </c>
    </row>
    <row r="19" spans="1:11" x14ac:dyDescent="0.65">
      <c r="A19" s="82">
        <v>4665</v>
      </c>
      <c r="B19" s="83" t="s">
        <v>27</v>
      </c>
      <c r="C19" s="83">
        <f>VLOOKUP(A19,دی!A:C,3,0)</f>
        <v>64</v>
      </c>
      <c r="D19" s="83">
        <v>1404</v>
      </c>
      <c r="E19" s="83">
        <v>11</v>
      </c>
      <c r="F19" s="84">
        <v>0</v>
      </c>
      <c r="G19" s="84">
        <v>60000000</v>
      </c>
      <c r="H19" s="84">
        <v>0</v>
      </c>
      <c r="I19" s="84">
        <v>0</v>
      </c>
      <c r="J19" s="84">
        <v>0</v>
      </c>
      <c r="K19" s="84">
        <v>8200000</v>
      </c>
    </row>
    <row r="20" spans="1:11" x14ac:dyDescent="0.65">
      <c r="A20" s="82">
        <v>4666</v>
      </c>
      <c r="B20" s="83" t="s">
        <v>28</v>
      </c>
      <c r="C20" s="83">
        <f>VLOOKUP(A20,دی!A:C,3,0)</f>
        <v>69</v>
      </c>
      <c r="D20" s="83">
        <v>1404</v>
      </c>
      <c r="E20" s="83">
        <v>11</v>
      </c>
      <c r="F20" s="84">
        <v>49750000</v>
      </c>
      <c r="G20" s="84">
        <v>110000000</v>
      </c>
      <c r="H20" s="84">
        <v>0</v>
      </c>
      <c r="I20" s="84">
        <v>0</v>
      </c>
      <c r="J20" s="84">
        <v>0</v>
      </c>
      <c r="K20" s="84">
        <v>32000000</v>
      </c>
    </row>
    <row r="21" spans="1:11" x14ac:dyDescent="0.65">
      <c r="A21" s="82">
        <v>4667</v>
      </c>
      <c r="B21" s="83" t="s">
        <v>29</v>
      </c>
      <c r="C21" s="83">
        <f>VLOOKUP(A21,دی!A:C,3,0)</f>
        <v>94</v>
      </c>
      <c r="D21" s="83">
        <v>1404</v>
      </c>
      <c r="E21" s="83">
        <v>11</v>
      </c>
      <c r="F21" s="84">
        <v>59700000</v>
      </c>
      <c r="G21" s="84">
        <v>30000000</v>
      </c>
      <c r="H21" s="84">
        <v>0</v>
      </c>
      <c r="I21" s="84">
        <v>0</v>
      </c>
      <c r="J21" s="84">
        <v>0</v>
      </c>
      <c r="K21" s="84">
        <v>0</v>
      </c>
    </row>
    <row r="22" spans="1:11" x14ac:dyDescent="0.65">
      <c r="A22" s="82">
        <v>4669</v>
      </c>
      <c r="B22" s="83" t="s">
        <v>31</v>
      </c>
      <c r="C22" s="83">
        <f>VLOOKUP(A22,دی!A:C,3,0)</f>
        <v>68</v>
      </c>
      <c r="D22" s="83">
        <v>1404</v>
      </c>
      <c r="E22" s="83">
        <v>11</v>
      </c>
      <c r="F22" s="84">
        <v>69650000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</row>
    <row r="23" spans="1:11" x14ac:dyDescent="0.65">
      <c r="A23" s="82">
        <v>4670</v>
      </c>
      <c r="B23" s="83" t="s">
        <v>32</v>
      </c>
      <c r="C23" s="83">
        <f>VLOOKUP(A23,دی!A:C,3,0)</f>
        <v>90</v>
      </c>
      <c r="D23" s="83">
        <v>1404</v>
      </c>
      <c r="E23" s="83">
        <v>11</v>
      </c>
      <c r="F23" s="84">
        <v>0</v>
      </c>
      <c r="G23" s="84">
        <v>30000000</v>
      </c>
      <c r="H23" s="84">
        <v>0</v>
      </c>
      <c r="I23" s="84">
        <v>0</v>
      </c>
      <c r="J23" s="84">
        <v>0</v>
      </c>
      <c r="K23" s="84">
        <v>15600000</v>
      </c>
    </row>
    <row r="24" spans="1:11" x14ac:dyDescent="0.65">
      <c r="A24" s="82">
        <v>4671</v>
      </c>
      <c r="B24" s="83" t="s">
        <v>33</v>
      </c>
      <c r="C24" s="83">
        <f>VLOOKUP(A24,دی!A:C,3,0)</f>
        <v>73</v>
      </c>
      <c r="D24" s="83">
        <v>1404</v>
      </c>
      <c r="E24" s="83">
        <v>11</v>
      </c>
      <c r="F24" s="84">
        <v>19900000</v>
      </c>
      <c r="G24" s="84">
        <v>20000000</v>
      </c>
      <c r="H24" s="84">
        <v>0</v>
      </c>
      <c r="I24" s="84">
        <v>0</v>
      </c>
      <c r="J24" s="84">
        <v>0</v>
      </c>
      <c r="K24" s="84">
        <v>6500000</v>
      </c>
    </row>
    <row r="25" spans="1:11" x14ac:dyDescent="0.65">
      <c r="A25" s="82">
        <v>4673</v>
      </c>
      <c r="B25" s="83" t="s">
        <v>34</v>
      </c>
      <c r="C25" s="83">
        <f>VLOOKUP(A25,دی!A:C,3,0)</f>
        <v>45</v>
      </c>
      <c r="D25" s="83">
        <v>1404</v>
      </c>
      <c r="E25" s="83">
        <v>11</v>
      </c>
      <c r="F25" s="84">
        <v>29850000</v>
      </c>
      <c r="G25" s="84">
        <v>0</v>
      </c>
      <c r="H25" s="84">
        <v>0</v>
      </c>
      <c r="I25" s="84">
        <v>0</v>
      </c>
      <c r="J25" s="84">
        <v>0</v>
      </c>
      <c r="K25" s="84">
        <v>1500000</v>
      </c>
    </row>
    <row r="26" spans="1:11" x14ac:dyDescent="0.65">
      <c r="A26" s="82">
        <v>4686</v>
      </c>
      <c r="B26" s="83" t="s">
        <v>35</v>
      </c>
      <c r="C26" s="83">
        <f>VLOOKUP(A26,دی!A:C,3,0)</f>
        <v>27</v>
      </c>
      <c r="D26" s="83">
        <v>1404</v>
      </c>
      <c r="E26" s="83">
        <v>11</v>
      </c>
      <c r="F26" s="84">
        <v>19900000</v>
      </c>
      <c r="G26" s="84">
        <v>0</v>
      </c>
      <c r="H26" s="84">
        <v>0</v>
      </c>
      <c r="I26" s="84">
        <v>0</v>
      </c>
      <c r="J26" s="84">
        <v>0</v>
      </c>
      <c r="K26" s="84">
        <v>6498600</v>
      </c>
    </row>
    <row r="27" spans="1:11" x14ac:dyDescent="0.65">
      <c r="A27" s="82">
        <v>4687</v>
      </c>
      <c r="B27" s="83" t="s">
        <v>36</v>
      </c>
      <c r="C27" s="83">
        <f>VLOOKUP(A27,دی!A:C,3,0)</f>
        <v>136</v>
      </c>
      <c r="D27" s="83">
        <v>1404</v>
      </c>
      <c r="E27" s="83">
        <v>11</v>
      </c>
      <c r="F27" s="84">
        <v>39800000</v>
      </c>
      <c r="G27" s="84">
        <v>0</v>
      </c>
      <c r="H27" s="84">
        <v>0</v>
      </c>
      <c r="I27" s="84">
        <v>0</v>
      </c>
      <c r="J27" s="84">
        <v>0</v>
      </c>
      <c r="K27" s="84">
        <v>10200000</v>
      </c>
    </row>
    <row r="28" spans="1:11" x14ac:dyDescent="0.65">
      <c r="A28" s="82">
        <v>4689</v>
      </c>
      <c r="B28" s="83" t="s">
        <v>38</v>
      </c>
      <c r="C28" s="83">
        <f>VLOOKUP(A28,دی!A:C,3,0)</f>
        <v>96</v>
      </c>
      <c r="D28" s="83">
        <v>1404</v>
      </c>
      <c r="E28" s="83">
        <v>11</v>
      </c>
      <c r="F28" s="84">
        <v>19900000</v>
      </c>
      <c r="G28" s="84">
        <v>30000000</v>
      </c>
      <c r="H28" s="84">
        <v>0</v>
      </c>
      <c r="I28" s="84">
        <v>0</v>
      </c>
      <c r="J28" s="84">
        <v>0</v>
      </c>
      <c r="K28" s="84">
        <v>0</v>
      </c>
    </row>
    <row r="29" spans="1:11" x14ac:dyDescent="0.65">
      <c r="A29" s="82">
        <v>4693</v>
      </c>
      <c r="B29" s="83" t="s">
        <v>39</v>
      </c>
      <c r="C29" s="83">
        <f>VLOOKUP(A29,دی!A:C,3,0)</f>
        <v>24</v>
      </c>
      <c r="D29" s="83">
        <v>1404</v>
      </c>
      <c r="E29" s="83">
        <v>11</v>
      </c>
      <c r="F29" s="84">
        <v>9950000</v>
      </c>
      <c r="G29" s="84">
        <v>0</v>
      </c>
      <c r="H29" s="84">
        <v>0</v>
      </c>
      <c r="I29" s="84">
        <v>0</v>
      </c>
      <c r="J29" s="84">
        <v>0</v>
      </c>
      <c r="K29" s="84">
        <v>17300000</v>
      </c>
    </row>
    <row r="30" spans="1:11" x14ac:dyDescent="0.65">
      <c r="A30" s="82">
        <v>4705</v>
      </c>
      <c r="B30" s="83" t="s">
        <v>41</v>
      </c>
      <c r="C30" s="83">
        <f>VLOOKUP(A30,دی!A:C,3,0)</f>
        <v>134</v>
      </c>
      <c r="D30" s="83">
        <v>1404</v>
      </c>
      <c r="E30" s="83">
        <v>11</v>
      </c>
      <c r="F30" s="84">
        <v>9950000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</row>
    <row r="31" spans="1:11" x14ac:dyDescent="0.65">
      <c r="A31" s="82">
        <v>4727</v>
      </c>
      <c r="B31" s="83" t="s">
        <v>42</v>
      </c>
      <c r="C31" s="83">
        <f>VLOOKUP(A31,دی!A:C,3,0)</f>
        <v>58</v>
      </c>
      <c r="D31" s="83">
        <v>1404</v>
      </c>
      <c r="E31" s="83">
        <v>11</v>
      </c>
      <c r="F31" s="84">
        <v>9950000</v>
      </c>
      <c r="G31" s="84">
        <v>0</v>
      </c>
      <c r="H31" s="84">
        <v>0</v>
      </c>
      <c r="I31" s="84">
        <v>289070628</v>
      </c>
      <c r="J31" s="84">
        <v>0</v>
      </c>
      <c r="K31" s="84">
        <v>1500000</v>
      </c>
    </row>
    <row r="32" spans="1:11" x14ac:dyDescent="0.65">
      <c r="A32" s="82">
        <v>4728</v>
      </c>
      <c r="B32" s="83" t="s">
        <v>43</v>
      </c>
      <c r="C32" s="83">
        <f>VLOOKUP(A32,دی!A:C,3,0)</f>
        <v>144</v>
      </c>
      <c r="D32" s="83">
        <v>1404</v>
      </c>
      <c r="E32" s="83">
        <v>11</v>
      </c>
      <c r="F32" s="84">
        <v>9950000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</row>
    <row r="33" spans="1:11" x14ac:dyDescent="0.65">
      <c r="A33" s="82">
        <v>4731</v>
      </c>
      <c r="B33" s="83" t="s">
        <v>44</v>
      </c>
      <c r="C33" s="83">
        <f>VLOOKUP(A33,دی!A:C,3,0)</f>
        <v>22</v>
      </c>
      <c r="D33" s="83">
        <v>1404</v>
      </c>
      <c r="E33" s="83">
        <v>11</v>
      </c>
      <c r="F33" s="84">
        <v>0</v>
      </c>
      <c r="G33" s="84">
        <v>5000000</v>
      </c>
      <c r="H33" s="84">
        <v>0</v>
      </c>
      <c r="I33" s="84">
        <v>0</v>
      </c>
      <c r="J33" s="84">
        <v>0</v>
      </c>
      <c r="K33" s="84">
        <v>0</v>
      </c>
    </row>
    <row r="34" spans="1:11" x14ac:dyDescent="0.65">
      <c r="A34" s="82">
        <v>4735</v>
      </c>
      <c r="B34" s="83" t="s">
        <v>45</v>
      </c>
      <c r="C34" s="83">
        <f>VLOOKUP(A34,دی!A:C,3,0)</f>
        <v>141</v>
      </c>
      <c r="D34" s="83">
        <v>1404</v>
      </c>
      <c r="E34" s="83">
        <v>11</v>
      </c>
      <c r="F34" s="84">
        <v>49750000</v>
      </c>
      <c r="G34" s="84">
        <v>0</v>
      </c>
      <c r="H34" s="84">
        <v>0</v>
      </c>
      <c r="I34" s="84">
        <v>0</v>
      </c>
      <c r="J34" s="84">
        <v>0</v>
      </c>
      <c r="K34" s="84">
        <v>7100000</v>
      </c>
    </row>
    <row r="35" spans="1:11" x14ac:dyDescent="0.65">
      <c r="A35" s="82">
        <v>5616</v>
      </c>
      <c r="B35" s="83" t="s">
        <v>46</v>
      </c>
      <c r="C35" s="83">
        <f>VLOOKUP(A35,دی!A:C,3,0)</f>
        <v>40</v>
      </c>
      <c r="D35" s="83">
        <v>1404</v>
      </c>
      <c r="E35" s="83">
        <v>11</v>
      </c>
      <c r="F35" s="84">
        <v>49750000</v>
      </c>
      <c r="G35" s="84">
        <v>0</v>
      </c>
      <c r="H35" s="84">
        <v>0</v>
      </c>
      <c r="I35" s="84">
        <v>0</v>
      </c>
      <c r="J35" s="84">
        <v>0</v>
      </c>
      <c r="K35" s="84">
        <v>10500000</v>
      </c>
    </row>
    <row r="36" spans="1:11" x14ac:dyDescent="0.65">
      <c r="A36" s="82">
        <v>5624</v>
      </c>
      <c r="B36" s="83" t="s">
        <v>49</v>
      </c>
      <c r="C36" s="83">
        <f>VLOOKUP(A36,دی!A:C,3,0)</f>
        <v>109</v>
      </c>
      <c r="D36" s="83">
        <v>1404</v>
      </c>
      <c r="E36" s="83">
        <v>11</v>
      </c>
      <c r="F36" s="84">
        <v>19900000</v>
      </c>
      <c r="G36" s="84">
        <v>0</v>
      </c>
      <c r="H36" s="84">
        <v>0</v>
      </c>
      <c r="I36" s="84">
        <v>0</v>
      </c>
      <c r="J36" s="84">
        <v>0</v>
      </c>
      <c r="K36" s="84">
        <v>7100000</v>
      </c>
    </row>
    <row r="37" spans="1:11" x14ac:dyDescent="0.65">
      <c r="A37" s="82">
        <v>5626</v>
      </c>
      <c r="B37" s="83" t="s">
        <v>50</v>
      </c>
      <c r="C37" s="83">
        <f>VLOOKUP(A37,دی!A:C,3,0)</f>
        <v>37</v>
      </c>
      <c r="D37" s="83">
        <v>1404</v>
      </c>
      <c r="E37" s="83">
        <v>11</v>
      </c>
      <c r="F37" s="84">
        <v>19900000</v>
      </c>
      <c r="G37" s="84">
        <v>0</v>
      </c>
      <c r="H37" s="84">
        <v>0</v>
      </c>
      <c r="I37" s="84">
        <v>0</v>
      </c>
      <c r="J37" s="84">
        <v>0</v>
      </c>
      <c r="K37" s="84">
        <v>0</v>
      </c>
    </row>
    <row r="38" spans="1:11" x14ac:dyDescent="0.65">
      <c r="A38" s="82">
        <v>5627</v>
      </c>
      <c r="B38" s="83" t="s">
        <v>51</v>
      </c>
      <c r="C38" s="83">
        <f>VLOOKUP(A38,دی!A:C,3,0)</f>
        <v>101</v>
      </c>
      <c r="D38" s="83">
        <v>1404</v>
      </c>
      <c r="E38" s="83">
        <v>11</v>
      </c>
      <c r="F38" s="84">
        <v>29850000</v>
      </c>
      <c r="G38" s="84">
        <v>0</v>
      </c>
      <c r="H38" s="84">
        <v>0</v>
      </c>
      <c r="I38" s="84">
        <v>0</v>
      </c>
      <c r="J38" s="84">
        <v>0</v>
      </c>
      <c r="K38" s="84">
        <v>7100000</v>
      </c>
    </row>
    <row r="39" spans="1:11" x14ac:dyDescent="0.65">
      <c r="A39" s="82">
        <v>5628</v>
      </c>
      <c r="B39" s="83" t="s">
        <v>52</v>
      </c>
      <c r="C39" s="83">
        <f>VLOOKUP(A39,دی!A:C,3,0)</f>
        <v>123</v>
      </c>
      <c r="D39" s="83">
        <v>1404</v>
      </c>
      <c r="E39" s="83">
        <v>11</v>
      </c>
      <c r="F39" s="84">
        <v>19900000</v>
      </c>
      <c r="G39" s="84">
        <v>0</v>
      </c>
      <c r="H39" s="84">
        <v>0</v>
      </c>
      <c r="I39" s="84">
        <v>0</v>
      </c>
      <c r="J39" s="84">
        <v>0</v>
      </c>
      <c r="K39" s="84">
        <v>5400000</v>
      </c>
    </row>
    <row r="40" spans="1:11" x14ac:dyDescent="0.65">
      <c r="A40" s="82">
        <v>5629</v>
      </c>
      <c r="B40" s="83" t="s">
        <v>53</v>
      </c>
      <c r="C40" s="83">
        <f>VLOOKUP(A40,دی!A:C,3,0)</f>
        <v>46</v>
      </c>
      <c r="D40" s="83">
        <v>1404</v>
      </c>
      <c r="E40" s="83">
        <v>11</v>
      </c>
      <c r="F40" s="84">
        <v>19900000</v>
      </c>
      <c r="G40" s="84">
        <v>0</v>
      </c>
      <c r="H40" s="84">
        <v>0</v>
      </c>
      <c r="I40" s="84">
        <v>0</v>
      </c>
      <c r="J40" s="84">
        <v>0</v>
      </c>
      <c r="K40" s="84">
        <v>8800000</v>
      </c>
    </row>
    <row r="41" spans="1:11" x14ac:dyDescent="0.65">
      <c r="A41" s="82">
        <v>5650</v>
      </c>
      <c r="B41" s="83" t="s">
        <v>61</v>
      </c>
      <c r="C41" s="83">
        <f>VLOOKUP(A41,دی!A:C,3,0)</f>
        <v>5</v>
      </c>
      <c r="D41" s="83">
        <v>1404</v>
      </c>
      <c r="E41" s="83">
        <v>11</v>
      </c>
      <c r="F41" s="84">
        <v>0</v>
      </c>
      <c r="G41" s="84">
        <v>100000000</v>
      </c>
      <c r="H41" s="84">
        <v>0</v>
      </c>
      <c r="I41" s="84">
        <v>0</v>
      </c>
      <c r="J41" s="84">
        <v>0</v>
      </c>
      <c r="K41" s="84">
        <v>600000</v>
      </c>
    </row>
    <row r="42" spans="1:11" x14ac:dyDescent="0.65">
      <c r="A42" s="82">
        <v>5653</v>
      </c>
      <c r="B42" s="83" t="s">
        <v>210</v>
      </c>
      <c r="C42" s="83">
        <f>VLOOKUP(A42,دی!A:C,3,0)</f>
        <v>464</v>
      </c>
      <c r="D42" s="83">
        <v>1404</v>
      </c>
      <c r="E42" s="83">
        <v>11</v>
      </c>
      <c r="F42" s="84">
        <v>0</v>
      </c>
      <c r="G42" s="84">
        <v>30000000</v>
      </c>
      <c r="H42" s="84">
        <v>0</v>
      </c>
      <c r="I42" s="84">
        <v>0</v>
      </c>
      <c r="J42" s="84">
        <v>0</v>
      </c>
      <c r="K42" s="84">
        <v>13200000</v>
      </c>
    </row>
    <row r="43" spans="1:11" x14ac:dyDescent="0.65">
      <c r="A43" s="82">
        <v>5655</v>
      </c>
      <c r="B43" s="83" t="s">
        <v>63</v>
      </c>
      <c r="C43" s="83">
        <f>VLOOKUP(A43,دی!A:C,3,0)</f>
        <v>130</v>
      </c>
      <c r="D43" s="83">
        <v>1404</v>
      </c>
      <c r="E43" s="83">
        <v>11</v>
      </c>
      <c r="F43" s="84">
        <v>29850000</v>
      </c>
      <c r="G43" s="84">
        <v>80000000</v>
      </c>
      <c r="H43" s="84">
        <v>0</v>
      </c>
      <c r="I43" s="84">
        <v>0</v>
      </c>
      <c r="J43" s="84">
        <v>0</v>
      </c>
      <c r="K43" s="84">
        <v>0</v>
      </c>
    </row>
    <row r="44" spans="1:11" x14ac:dyDescent="0.65">
      <c r="A44" s="82">
        <v>5663</v>
      </c>
      <c r="B44" s="83" t="s">
        <v>284</v>
      </c>
      <c r="C44" s="83">
        <f>VLOOKUP(A44,دی!A:C,3,0)</f>
        <v>524</v>
      </c>
      <c r="D44" s="83">
        <v>1404</v>
      </c>
      <c r="E44" s="83">
        <v>11</v>
      </c>
      <c r="F44" s="84">
        <v>0</v>
      </c>
      <c r="G44" s="84">
        <v>47700000</v>
      </c>
      <c r="H44" s="84">
        <v>0</v>
      </c>
      <c r="I44" s="84">
        <v>0</v>
      </c>
      <c r="J44" s="84">
        <v>0</v>
      </c>
      <c r="K44" s="84">
        <v>0</v>
      </c>
    </row>
    <row r="45" spans="1:11" x14ac:dyDescent="0.65">
      <c r="A45" s="82">
        <v>5666</v>
      </c>
      <c r="B45" s="83" t="s">
        <v>64</v>
      </c>
      <c r="C45" s="83">
        <f>VLOOKUP(A45,دی!A:C,3,0)</f>
        <v>12</v>
      </c>
      <c r="D45" s="83">
        <v>1404</v>
      </c>
      <c r="E45" s="83">
        <v>11</v>
      </c>
      <c r="F45" s="84">
        <v>0</v>
      </c>
      <c r="G45" s="84">
        <v>135740520</v>
      </c>
      <c r="H45" s="84">
        <v>0</v>
      </c>
      <c r="I45" s="84">
        <v>0</v>
      </c>
      <c r="J45" s="84">
        <v>0</v>
      </c>
      <c r="K45" s="84">
        <v>5400000</v>
      </c>
    </row>
    <row r="46" spans="1:11" x14ac:dyDescent="0.65">
      <c r="A46" s="82">
        <v>5685</v>
      </c>
      <c r="B46" s="83" t="s">
        <v>67</v>
      </c>
      <c r="C46" s="83">
        <f>VLOOKUP(A46,دی!A:C,3,0)</f>
        <v>142</v>
      </c>
      <c r="D46" s="83">
        <v>1404</v>
      </c>
      <c r="E46" s="83">
        <v>11</v>
      </c>
      <c r="F46" s="84">
        <v>29850000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</row>
    <row r="47" spans="1:11" x14ac:dyDescent="0.65">
      <c r="A47" s="82">
        <v>5699</v>
      </c>
      <c r="B47" s="83" t="s">
        <v>68</v>
      </c>
      <c r="C47" s="83">
        <f>VLOOKUP(A47,دی!A:C,3,0)</f>
        <v>159</v>
      </c>
      <c r="D47" s="83">
        <v>1404</v>
      </c>
      <c r="E47" s="83">
        <v>11</v>
      </c>
      <c r="F47" s="84">
        <v>49750000</v>
      </c>
      <c r="G47" s="84">
        <v>0</v>
      </c>
      <c r="H47" s="84">
        <v>0</v>
      </c>
      <c r="I47" s="84">
        <v>0</v>
      </c>
      <c r="J47" s="84">
        <v>0</v>
      </c>
      <c r="K47" s="84">
        <v>10500000</v>
      </c>
    </row>
    <row r="48" spans="1:11" x14ac:dyDescent="0.65">
      <c r="A48" s="82">
        <v>5708</v>
      </c>
      <c r="B48" s="83" t="s">
        <v>72</v>
      </c>
      <c r="C48" s="83">
        <f>VLOOKUP(A48,دی!A:C,3,0)</f>
        <v>50</v>
      </c>
      <c r="D48" s="83">
        <v>1404</v>
      </c>
      <c r="E48" s="83">
        <v>11</v>
      </c>
      <c r="F48" s="84">
        <v>29850000</v>
      </c>
      <c r="G48" s="84">
        <v>0</v>
      </c>
      <c r="H48" s="84">
        <v>0</v>
      </c>
      <c r="I48" s="84">
        <v>0</v>
      </c>
      <c r="J48" s="84">
        <v>0</v>
      </c>
      <c r="K48" s="84">
        <v>0</v>
      </c>
    </row>
    <row r="49" spans="1:11" x14ac:dyDescent="0.65">
      <c r="A49" s="82">
        <v>5710</v>
      </c>
      <c r="B49" s="83" t="s">
        <v>73</v>
      </c>
      <c r="C49" s="83">
        <f>VLOOKUP(A49,دی!A:C,3,0)</f>
        <v>74</v>
      </c>
      <c r="D49" s="83">
        <v>1404</v>
      </c>
      <c r="E49" s="83">
        <v>11</v>
      </c>
      <c r="F49" s="84">
        <v>29850000</v>
      </c>
      <c r="G49" s="84">
        <v>30000000</v>
      </c>
      <c r="H49" s="84">
        <v>0</v>
      </c>
      <c r="I49" s="84">
        <v>0</v>
      </c>
      <c r="J49" s="84">
        <v>0</v>
      </c>
      <c r="K49" s="84">
        <v>0</v>
      </c>
    </row>
    <row r="50" spans="1:11" x14ac:dyDescent="0.65">
      <c r="A50" s="82">
        <v>5727</v>
      </c>
      <c r="B50" s="83" t="s">
        <v>76</v>
      </c>
      <c r="C50" s="83">
        <f>VLOOKUP(A50,دی!A:C,3,0)</f>
        <v>47</v>
      </c>
      <c r="D50" s="83">
        <v>1404</v>
      </c>
      <c r="E50" s="83">
        <v>11</v>
      </c>
      <c r="F50" s="84">
        <v>59700000</v>
      </c>
      <c r="G50" s="84">
        <v>0</v>
      </c>
      <c r="H50" s="84">
        <v>0</v>
      </c>
      <c r="I50" s="84">
        <v>0</v>
      </c>
      <c r="J50" s="84">
        <v>0</v>
      </c>
      <c r="K50" s="84">
        <v>0</v>
      </c>
    </row>
    <row r="51" spans="1:11" x14ac:dyDescent="0.65">
      <c r="A51" s="82">
        <v>5734</v>
      </c>
      <c r="B51" s="83" t="s">
        <v>77</v>
      </c>
      <c r="C51" s="83">
        <f>VLOOKUP(A51,دی!A:C,3,0)</f>
        <v>98</v>
      </c>
      <c r="D51" s="83">
        <v>1404</v>
      </c>
      <c r="E51" s="83">
        <v>11</v>
      </c>
      <c r="F51" s="84">
        <v>19900000</v>
      </c>
      <c r="G51" s="84">
        <v>40000000</v>
      </c>
      <c r="H51" s="84">
        <v>0</v>
      </c>
      <c r="I51" s="84">
        <v>0</v>
      </c>
      <c r="J51" s="84">
        <v>0</v>
      </c>
      <c r="K51" s="84">
        <v>0</v>
      </c>
    </row>
    <row r="52" spans="1:11" x14ac:dyDescent="0.65">
      <c r="A52" s="82">
        <v>5744</v>
      </c>
      <c r="B52" s="83" t="s">
        <v>78</v>
      </c>
      <c r="C52" s="83">
        <f>VLOOKUP(A52,دی!A:C,3,0)</f>
        <v>3</v>
      </c>
      <c r="D52" s="83">
        <v>1404</v>
      </c>
      <c r="E52" s="83">
        <v>11</v>
      </c>
      <c r="F52" s="84">
        <v>39800000</v>
      </c>
      <c r="G52" s="84">
        <v>117718500</v>
      </c>
      <c r="H52" s="84">
        <v>0</v>
      </c>
      <c r="I52" s="84">
        <v>0</v>
      </c>
      <c r="J52" s="84">
        <v>0</v>
      </c>
      <c r="K52" s="84">
        <v>300000</v>
      </c>
    </row>
    <row r="53" spans="1:11" x14ac:dyDescent="0.65">
      <c r="A53" s="82">
        <v>5749</v>
      </c>
      <c r="B53" s="83" t="s">
        <v>79</v>
      </c>
      <c r="C53" s="83">
        <f>VLOOKUP(A53,دی!A:C,3,0)</f>
        <v>126</v>
      </c>
      <c r="D53" s="83">
        <v>1404</v>
      </c>
      <c r="E53" s="83">
        <v>11</v>
      </c>
      <c r="F53" s="84">
        <v>0</v>
      </c>
      <c r="G53" s="84">
        <v>100000000</v>
      </c>
      <c r="H53" s="84">
        <v>0</v>
      </c>
      <c r="I53" s="84">
        <v>0</v>
      </c>
      <c r="J53" s="84">
        <v>0</v>
      </c>
      <c r="K53" s="84">
        <v>0</v>
      </c>
    </row>
    <row r="54" spans="1:11" x14ac:dyDescent="0.65">
      <c r="A54" s="82">
        <v>5765</v>
      </c>
      <c r="B54" s="83" t="s">
        <v>80</v>
      </c>
      <c r="C54" s="83">
        <f>VLOOKUP(A54,دی!A:C,3,0)</f>
        <v>51</v>
      </c>
      <c r="D54" s="83">
        <v>1404</v>
      </c>
      <c r="E54" s="83">
        <v>11</v>
      </c>
      <c r="F54" s="84">
        <v>29850000</v>
      </c>
      <c r="G54" s="84">
        <v>0</v>
      </c>
      <c r="H54" s="84">
        <v>0</v>
      </c>
      <c r="I54" s="84">
        <v>0</v>
      </c>
      <c r="J54" s="84">
        <v>0</v>
      </c>
      <c r="K54" s="84">
        <v>0</v>
      </c>
    </row>
    <row r="55" spans="1:11" x14ac:dyDescent="0.65">
      <c r="A55" s="82">
        <v>5766</v>
      </c>
      <c r="B55" s="83" t="s">
        <v>81</v>
      </c>
      <c r="C55" s="83">
        <f>VLOOKUP(A55,دی!A:C,3,0)</f>
        <v>135</v>
      </c>
      <c r="D55" s="83">
        <v>1404</v>
      </c>
      <c r="E55" s="83">
        <v>11</v>
      </c>
      <c r="F55" s="84">
        <v>29850000</v>
      </c>
      <c r="G55" s="84">
        <v>0</v>
      </c>
      <c r="H55" s="84">
        <v>0</v>
      </c>
      <c r="I55" s="84">
        <v>101252548</v>
      </c>
      <c r="J55" s="84">
        <v>0</v>
      </c>
      <c r="K55" s="84">
        <v>0</v>
      </c>
    </row>
    <row r="56" spans="1:11" x14ac:dyDescent="0.65">
      <c r="A56" s="82">
        <v>5771</v>
      </c>
      <c r="B56" s="83" t="s">
        <v>82</v>
      </c>
      <c r="C56" s="83">
        <f>VLOOKUP(A56,دی!A:C,3,0)</f>
        <v>77</v>
      </c>
      <c r="D56" s="83">
        <v>1404</v>
      </c>
      <c r="E56" s="83">
        <v>11</v>
      </c>
      <c r="F56" s="84">
        <v>19900000</v>
      </c>
      <c r="G56" s="84">
        <v>30000000</v>
      </c>
      <c r="H56" s="84">
        <v>0</v>
      </c>
      <c r="I56" s="84">
        <v>0</v>
      </c>
      <c r="J56" s="84">
        <v>0</v>
      </c>
      <c r="K56" s="84">
        <v>10200000</v>
      </c>
    </row>
    <row r="57" spans="1:11" x14ac:dyDescent="0.65">
      <c r="A57" s="82">
        <v>5783</v>
      </c>
      <c r="B57" s="83" t="s">
        <v>84</v>
      </c>
      <c r="C57" s="83">
        <f>VLOOKUP(A57,دی!A:C,3,0)</f>
        <v>79</v>
      </c>
      <c r="D57" s="83">
        <v>1404</v>
      </c>
      <c r="E57" s="83">
        <v>11</v>
      </c>
      <c r="F57" s="84">
        <v>39800000</v>
      </c>
      <c r="G57" s="84">
        <v>0</v>
      </c>
      <c r="H57" s="84">
        <v>0</v>
      </c>
      <c r="I57" s="84">
        <v>0</v>
      </c>
      <c r="J57" s="84">
        <v>0</v>
      </c>
      <c r="K57" s="84">
        <v>4500000</v>
      </c>
    </row>
    <row r="58" spans="1:11" x14ac:dyDescent="0.65">
      <c r="A58" s="82">
        <v>5784</v>
      </c>
      <c r="B58" s="83" t="s">
        <v>85</v>
      </c>
      <c r="C58" s="83">
        <f>VLOOKUP(A58,دی!A:C,3,0)</f>
        <v>148</v>
      </c>
      <c r="D58" s="83">
        <v>1404</v>
      </c>
      <c r="E58" s="83">
        <v>11</v>
      </c>
      <c r="F58" s="84">
        <v>9950000</v>
      </c>
      <c r="G58" s="84">
        <v>20000000</v>
      </c>
      <c r="H58" s="84">
        <v>0</v>
      </c>
      <c r="I58" s="84">
        <v>0</v>
      </c>
      <c r="J58" s="84">
        <v>0</v>
      </c>
      <c r="K58" s="84">
        <v>0</v>
      </c>
    </row>
    <row r="59" spans="1:11" x14ac:dyDescent="0.65">
      <c r="A59" s="82">
        <v>5791</v>
      </c>
      <c r="B59" s="83" t="s">
        <v>86</v>
      </c>
      <c r="C59" s="83">
        <f>VLOOKUP(A59,دی!A:C,3,0)</f>
        <v>150</v>
      </c>
      <c r="D59" s="83">
        <v>1404</v>
      </c>
      <c r="E59" s="83">
        <v>11</v>
      </c>
      <c r="F59" s="84">
        <v>9950000</v>
      </c>
      <c r="G59" s="84">
        <v>0</v>
      </c>
      <c r="H59" s="84">
        <v>0</v>
      </c>
      <c r="I59" s="84">
        <v>0</v>
      </c>
      <c r="J59" s="84">
        <v>0</v>
      </c>
      <c r="K59" s="84">
        <v>8800000</v>
      </c>
    </row>
    <row r="60" spans="1:11" x14ac:dyDescent="0.65">
      <c r="A60" s="82">
        <v>5793</v>
      </c>
      <c r="B60" s="83" t="s">
        <v>87</v>
      </c>
      <c r="C60" s="83">
        <f>VLOOKUP(A60,دی!A:C,3,0)</f>
        <v>43</v>
      </c>
      <c r="D60" s="83">
        <v>1404</v>
      </c>
      <c r="E60" s="83">
        <v>11</v>
      </c>
      <c r="F60" s="84">
        <v>0</v>
      </c>
      <c r="G60" s="84">
        <v>71350000</v>
      </c>
      <c r="H60" s="84">
        <v>0</v>
      </c>
      <c r="I60" s="84">
        <v>0</v>
      </c>
      <c r="J60" s="84">
        <v>0</v>
      </c>
      <c r="K60" s="84">
        <v>0</v>
      </c>
    </row>
    <row r="61" spans="1:11" x14ac:dyDescent="0.65">
      <c r="A61" s="82">
        <v>5799</v>
      </c>
      <c r="B61" s="83" t="s">
        <v>90</v>
      </c>
      <c r="C61" s="83">
        <f>VLOOKUP(A61,دی!A:C,3,0)</f>
        <v>224</v>
      </c>
      <c r="D61" s="83">
        <v>1404</v>
      </c>
      <c r="E61" s="83">
        <v>11</v>
      </c>
      <c r="F61" s="84">
        <v>0</v>
      </c>
      <c r="G61" s="84">
        <v>30000000</v>
      </c>
      <c r="H61" s="84">
        <v>0</v>
      </c>
      <c r="I61" s="84">
        <v>0</v>
      </c>
      <c r="J61" s="84">
        <v>0</v>
      </c>
      <c r="K61" s="84">
        <v>6200000</v>
      </c>
    </row>
    <row r="62" spans="1:11" x14ac:dyDescent="0.65">
      <c r="A62" s="82">
        <v>5824</v>
      </c>
      <c r="B62" s="83" t="s">
        <v>94</v>
      </c>
      <c r="C62" s="83">
        <f>VLOOKUP(A62,دی!A:C,3,0)</f>
        <v>41</v>
      </c>
      <c r="D62" s="83">
        <v>1404</v>
      </c>
      <c r="E62" s="83">
        <v>11</v>
      </c>
      <c r="F62" s="84">
        <v>0</v>
      </c>
      <c r="G62" s="84">
        <v>0</v>
      </c>
      <c r="H62" s="84">
        <v>0</v>
      </c>
      <c r="I62" s="84">
        <v>24811911</v>
      </c>
      <c r="J62" s="84">
        <v>0</v>
      </c>
      <c r="K62" s="84">
        <v>4800000</v>
      </c>
    </row>
    <row r="63" spans="1:11" x14ac:dyDescent="0.65">
      <c r="A63" s="82">
        <v>5827</v>
      </c>
      <c r="B63" s="83" t="s">
        <v>95</v>
      </c>
      <c r="C63" s="83">
        <f>VLOOKUP(A63,دی!A:C,3,0)</f>
        <v>53</v>
      </c>
      <c r="D63" s="83">
        <v>1404</v>
      </c>
      <c r="E63" s="83">
        <v>11</v>
      </c>
      <c r="F63" s="84">
        <v>0</v>
      </c>
      <c r="G63" s="84">
        <v>90000000</v>
      </c>
      <c r="H63" s="84">
        <v>0</v>
      </c>
      <c r="I63" s="84">
        <v>0</v>
      </c>
      <c r="J63" s="84">
        <v>0</v>
      </c>
      <c r="K63" s="84">
        <v>8800000</v>
      </c>
    </row>
    <row r="64" spans="1:11" x14ac:dyDescent="0.65">
      <c r="A64" s="82">
        <v>5837</v>
      </c>
      <c r="B64" s="83" t="s">
        <v>100</v>
      </c>
      <c r="C64" s="83">
        <f>VLOOKUP(A64,دی!A:C,3,0)</f>
        <v>75</v>
      </c>
      <c r="D64" s="83">
        <v>1404</v>
      </c>
      <c r="E64" s="83">
        <v>11</v>
      </c>
      <c r="F64" s="84">
        <v>9950000</v>
      </c>
      <c r="G64" s="84">
        <v>0</v>
      </c>
      <c r="H64" s="84">
        <v>0</v>
      </c>
      <c r="I64" s="84">
        <v>0</v>
      </c>
      <c r="J64" s="84">
        <v>0</v>
      </c>
      <c r="K64" s="84">
        <v>7100000</v>
      </c>
    </row>
    <row r="65" spans="1:11" x14ac:dyDescent="0.65">
      <c r="A65" s="82">
        <v>5842</v>
      </c>
      <c r="B65" s="83" t="s">
        <v>101</v>
      </c>
      <c r="C65" s="83">
        <f>VLOOKUP(A65,دی!A:C,3,0)</f>
        <v>147</v>
      </c>
      <c r="D65" s="83">
        <v>1404</v>
      </c>
      <c r="E65" s="83">
        <v>11</v>
      </c>
      <c r="F65" s="84">
        <v>29850000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</row>
    <row r="66" spans="1:11" x14ac:dyDescent="0.65">
      <c r="A66" s="82">
        <v>5843</v>
      </c>
      <c r="B66" s="83" t="s">
        <v>102</v>
      </c>
      <c r="C66" s="83">
        <f>VLOOKUP(A66,دی!A:C,3,0)</f>
        <v>76</v>
      </c>
      <c r="D66" s="83">
        <v>1404</v>
      </c>
      <c r="E66" s="83">
        <v>11</v>
      </c>
      <c r="F66" s="84">
        <v>19900000</v>
      </c>
      <c r="G66" s="84">
        <v>0</v>
      </c>
      <c r="H66" s="84">
        <v>0</v>
      </c>
      <c r="I66" s="84">
        <v>0</v>
      </c>
      <c r="J66" s="84">
        <v>0</v>
      </c>
      <c r="K66" s="84">
        <v>8200000</v>
      </c>
    </row>
    <row r="67" spans="1:11" x14ac:dyDescent="0.65">
      <c r="A67" s="82">
        <v>5847</v>
      </c>
      <c r="B67" s="83" t="s">
        <v>103</v>
      </c>
      <c r="C67" s="83">
        <f>VLOOKUP(A67,دی!A:C,3,0)</f>
        <v>93</v>
      </c>
      <c r="D67" s="83">
        <v>1404</v>
      </c>
      <c r="E67" s="83">
        <v>11</v>
      </c>
      <c r="F67" s="84">
        <v>49750000</v>
      </c>
      <c r="G67" s="84">
        <v>0</v>
      </c>
      <c r="H67" s="84">
        <v>0</v>
      </c>
      <c r="I67" s="84">
        <v>0</v>
      </c>
      <c r="J67" s="84">
        <v>0</v>
      </c>
      <c r="K67" s="84">
        <v>17800000</v>
      </c>
    </row>
    <row r="68" spans="1:11" x14ac:dyDescent="0.65">
      <c r="A68" s="82">
        <v>5857</v>
      </c>
      <c r="B68" s="83" t="s">
        <v>106</v>
      </c>
      <c r="C68" s="83">
        <f>VLOOKUP(A68,دی!A:C,3,0)</f>
        <v>48</v>
      </c>
      <c r="D68" s="83">
        <v>1404</v>
      </c>
      <c r="E68" s="83">
        <v>11</v>
      </c>
      <c r="F68" s="84">
        <v>9950000</v>
      </c>
      <c r="G68" s="84">
        <v>70000000</v>
      </c>
      <c r="H68" s="84">
        <v>0</v>
      </c>
      <c r="I68" s="84">
        <v>0</v>
      </c>
      <c r="J68" s="84">
        <v>0</v>
      </c>
      <c r="K68" s="84">
        <v>7900000</v>
      </c>
    </row>
    <row r="69" spans="1:11" x14ac:dyDescent="0.65">
      <c r="A69" s="82">
        <v>5863</v>
      </c>
      <c r="B69" s="83" t="s">
        <v>107</v>
      </c>
      <c r="C69" s="83">
        <f>VLOOKUP(A69,دی!A:C,3,0)</f>
        <v>2</v>
      </c>
      <c r="D69" s="83">
        <v>1404</v>
      </c>
      <c r="E69" s="83">
        <v>11</v>
      </c>
      <c r="F69" s="84">
        <v>39800000</v>
      </c>
      <c r="G69" s="84">
        <v>194702857</v>
      </c>
      <c r="H69" s="84">
        <v>0</v>
      </c>
      <c r="I69" s="84">
        <v>0</v>
      </c>
      <c r="J69" s="84">
        <v>0</v>
      </c>
      <c r="K69" s="84">
        <v>0</v>
      </c>
    </row>
    <row r="70" spans="1:11" x14ac:dyDescent="0.65">
      <c r="A70" s="82">
        <v>5867</v>
      </c>
      <c r="B70" s="83" t="s">
        <v>108</v>
      </c>
      <c r="C70" s="83">
        <f>VLOOKUP(A70,دی!A:C,3,0)</f>
        <v>78</v>
      </c>
      <c r="D70" s="83">
        <v>1404</v>
      </c>
      <c r="E70" s="83">
        <v>11</v>
      </c>
      <c r="F70" s="84">
        <v>9950000</v>
      </c>
      <c r="G70" s="84">
        <v>0</v>
      </c>
      <c r="H70" s="84">
        <v>0</v>
      </c>
      <c r="I70" s="84">
        <v>0</v>
      </c>
      <c r="J70" s="84">
        <v>0</v>
      </c>
      <c r="K70" s="84">
        <v>7100000</v>
      </c>
    </row>
    <row r="71" spans="1:11" x14ac:dyDescent="0.65">
      <c r="A71" s="82">
        <v>5870</v>
      </c>
      <c r="B71" s="83" t="s">
        <v>109</v>
      </c>
      <c r="C71" s="83">
        <f>VLOOKUP(A71,دی!A:C,3,0)</f>
        <v>199</v>
      </c>
      <c r="D71" s="83">
        <v>1404</v>
      </c>
      <c r="E71" s="83">
        <v>11</v>
      </c>
      <c r="F71" s="84">
        <v>9950000</v>
      </c>
      <c r="G71" s="84">
        <v>0</v>
      </c>
      <c r="H71" s="84">
        <v>0</v>
      </c>
      <c r="I71" s="84">
        <v>15172694</v>
      </c>
      <c r="J71" s="84">
        <v>0</v>
      </c>
      <c r="K71" s="84">
        <v>7100000</v>
      </c>
    </row>
    <row r="72" spans="1:11" x14ac:dyDescent="0.65">
      <c r="A72" s="82">
        <v>5883</v>
      </c>
      <c r="B72" s="83" t="s">
        <v>111</v>
      </c>
      <c r="C72" s="83">
        <f>VLOOKUP(A72,دی!A:C,3,0)</f>
        <v>6</v>
      </c>
      <c r="D72" s="83">
        <v>1404</v>
      </c>
      <c r="E72" s="83">
        <v>11</v>
      </c>
      <c r="F72" s="84">
        <v>59700000</v>
      </c>
      <c r="G72" s="84">
        <v>95434000</v>
      </c>
      <c r="H72" s="84">
        <v>21887016</v>
      </c>
      <c r="I72" s="84">
        <v>0</v>
      </c>
      <c r="J72" s="84">
        <v>0</v>
      </c>
      <c r="K72" s="84">
        <v>0</v>
      </c>
    </row>
    <row r="73" spans="1:11" x14ac:dyDescent="0.65">
      <c r="A73" s="82">
        <v>5885</v>
      </c>
      <c r="B73" s="83" t="s">
        <v>112</v>
      </c>
      <c r="C73" s="83">
        <f>VLOOKUP(A73,دی!A:C,3,0)</f>
        <v>161</v>
      </c>
      <c r="D73" s="83">
        <v>1404</v>
      </c>
      <c r="E73" s="83">
        <v>11</v>
      </c>
      <c r="F73" s="84">
        <v>19900000</v>
      </c>
      <c r="G73" s="84">
        <v>30000000</v>
      </c>
      <c r="H73" s="84">
        <v>0</v>
      </c>
      <c r="I73" s="84">
        <v>0</v>
      </c>
      <c r="J73" s="84">
        <v>0</v>
      </c>
      <c r="K73" s="84">
        <v>5300000</v>
      </c>
    </row>
    <row r="74" spans="1:11" x14ac:dyDescent="0.65">
      <c r="A74" s="82">
        <v>5886</v>
      </c>
      <c r="B74" s="83" t="s">
        <v>113</v>
      </c>
      <c r="C74" s="83">
        <f>VLOOKUP(A74,دی!A:C,3,0)</f>
        <v>166</v>
      </c>
      <c r="D74" s="83">
        <v>1404</v>
      </c>
      <c r="E74" s="83">
        <v>11</v>
      </c>
      <c r="F74" s="84">
        <v>9950000</v>
      </c>
      <c r="G74" s="84">
        <v>0</v>
      </c>
      <c r="H74" s="84">
        <v>0</v>
      </c>
      <c r="I74" s="84">
        <v>0</v>
      </c>
      <c r="J74" s="84">
        <v>0</v>
      </c>
      <c r="K74" s="84">
        <v>5500000</v>
      </c>
    </row>
    <row r="75" spans="1:11" x14ac:dyDescent="0.65">
      <c r="A75" s="82">
        <v>5887</v>
      </c>
      <c r="B75" s="83" t="s">
        <v>114</v>
      </c>
      <c r="C75" s="83">
        <f>VLOOKUP(A75,دی!A:C,3,0)</f>
        <v>167</v>
      </c>
      <c r="D75" s="83">
        <v>1404</v>
      </c>
      <c r="E75" s="83">
        <v>11</v>
      </c>
      <c r="F75" s="84">
        <v>9950000</v>
      </c>
      <c r="G75" s="84">
        <v>0</v>
      </c>
      <c r="H75" s="84">
        <v>0</v>
      </c>
      <c r="I75" s="84">
        <v>0</v>
      </c>
      <c r="J75" s="84">
        <v>0</v>
      </c>
      <c r="K75" s="84">
        <v>15600000</v>
      </c>
    </row>
    <row r="76" spans="1:11" x14ac:dyDescent="0.65">
      <c r="A76" s="82">
        <v>5890</v>
      </c>
      <c r="B76" s="83" t="s">
        <v>116</v>
      </c>
      <c r="C76" s="83">
        <f>VLOOKUP(A76,دی!A:C,3,0)</f>
        <v>15</v>
      </c>
      <c r="D76" s="83">
        <v>1404</v>
      </c>
      <c r="E76" s="83">
        <v>11</v>
      </c>
      <c r="F76" s="84">
        <v>49750000</v>
      </c>
      <c r="G76" s="84">
        <v>0</v>
      </c>
      <c r="H76" s="84">
        <v>0</v>
      </c>
      <c r="I76" s="84">
        <v>189651474</v>
      </c>
      <c r="J76" s="84">
        <v>0</v>
      </c>
      <c r="K76" s="84">
        <v>3000000</v>
      </c>
    </row>
    <row r="77" spans="1:11" x14ac:dyDescent="0.65">
      <c r="A77" s="82">
        <v>5898</v>
      </c>
      <c r="B77" s="83" t="s">
        <v>117</v>
      </c>
      <c r="C77" s="83">
        <f>VLOOKUP(A77,دی!A:C,3,0)</f>
        <v>29</v>
      </c>
      <c r="D77" s="83">
        <v>1404</v>
      </c>
      <c r="E77" s="83">
        <v>11</v>
      </c>
      <c r="F77" s="84">
        <v>39800000</v>
      </c>
      <c r="G77" s="84">
        <v>130000000</v>
      </c>
      <c r="H77" s="84">
        <v>0</v>
      </c>
      <c r="I77" s="84">
        <v>0</v>
      </c>
      <c r="J77" s="84">
        <v>0</v>
      </c>
      <c r="K77" s="84">
        <v>7100000</v>
      </c>
    </row>
    <row r="78" spans="1:11" x14ac:dyDescent="0.65">
      <c r="A78" s="82">
        <v>5900</v>
      </c>
      <c r="B78" s="83" t="s">
        <v>118</v>
      </c>
      <c r="C78" s="83">
        <f>VLOOKUP(A78,دی!A:C,3,0)</f>
        <v>42</v>
      </c>
      <c r="D78" s="83">
        <v>1404</v>
      </c>
      <c r="E78" s="83">
        <v>11</v>
      </c>
      <c r="F78" s="84">
        <v>9950000</v>
      </c>
      <c r="G78" s="84">
        <v>30000000</v>
      </c>
      <c r="H78" s="84">
        <v>0</v>
      </c>
      <c r="I78" s="84">
        <v>0</v>
      </c>
      <c r="J78" s="84">
        <v>0</v>
      </c>
      <c r="K78" s="84">
        <v>3600000</v>
      </c>
    </row>
    <row r="79" spans="1:11" x14ac:dyDescent="0.65">
      <c r="A79" s="82">
        <v>5905</v>
      </c>
      <c r="B79" s="83" t="s">
        <v>121</v>
      </c>
      <c r="C79" s="83">
        <f>VLOOKUP(A79,دی!A:C,3,0)</f>
        <v>498</v>
      </c>
      <c r="D79" s="83">
        <v>1404</v>
      </c>
      <c r="E79" s="83">
        <v>11</v>
      </c>
      <c r="F79" s="84">
        <v>0</v>
      </c>
      <c r="G79" s="84">
        <v>15786166</v>
      </c>
      <c r="H79" s="84">
        <v>0</v>
      </c>
      <c r="I79" s="84">
        <v>0</v>
      </c>
      <c r="J79" s="84">
        <v>0</v>
      </c>
      <c r="K79" s="84">
        <v>5400000</v>
      </c>
    </row>
    <row r="80" spans="1:11" x14ac:dyDescent="0.65">
      <c r="A80" s="82">
        <v>5907</v>
      </c>
      <c r="B80" s="83" t="s">
        <v>123</v>
      </c>
      <c r="C80" s="83">
        <f>VLOOKUP(A80,دی!A:C,3,0)</f>
        <v>16</v>
      </c>
      <c r="D80" s="83">
        <v>1404</v>
      </c>
      <c r="E80" s="83">
        <v>11</v>
      </c>
      <c r="F80" s="84">
        <v>29850000</v>
      </c>
      <c r="G80" s="84">
        <v>18348833</v>
      </c>
      <c r="H80" s="84">
        <v>0</v>
      </c>
      <c r="I80" s="84">
        <v>0</v>
      </c>
      <c r="J80" s="84">
        <v>0</v>
      </c>
      <c r="K80" s="84">
        <v>0</v>
      </c>
    </row>
    <row r="81" spans="1:11" x14ac:dyDescent="0.65">
      <c r="A81" s="82">
        <v>5908</v>
      </c>
      <c r="B81" s="83" t="s">
        <v>212</v>
      </c>
      <c r="C81" s="83">
        <f>VLOOKUP(A81,دی!A:C,3,0)</f>
        <v>156</v>
      </c>
      <c r="D81" s="83">
        <v>1404</v>
      </c>
      <c r="E81" s="83">
        <v>11</v>
      </c>
      <c r="F81" s="84">
        <v>0</v>
      </c>
      <c r="G81" s="84">
        <v>80000000</v>
      </c>
      <c r="H81" s="84">
        <v>0</v>
      </c>
      <c r="I81" s="84">
        <v>0</v>
      </c>
      <c r="J81" s="84">
        <v>0</v>
      </c>
      <c r="K81" s="84">
        <v>0</v>
      </c>
    </row>
    <row r="82" spans="1:11" x14ac:dyDescent="0.65">
      <c r="A82" s="82">
        <v>5909</v>
      </c>
      <c r="B82" s="83" t="s">
        <v>124</v>
      </c>
      <c r="C82" s="83">
        <f>VLOOKUP(A82,دی!A:C,3,0)</f>
        <v>23</v>
      </c>
      <c r="D82" s="83">
        <v>1404</v>
      </c>
      <c r="E82" s="83">
        <v>11</v>
      </c>
      <c r="F82" s="84">
        <v>39800000</v>
      </c>
      <c r="G82" s="84">
        <v>0</v>
      </c>
      <c r="H82" s="84">
        <v>0</v>
      </c>
      <c r="I82" s="84">
        <v>0</v>
      </c>
      <c r="J82" s="84">
        <v>0</v>
      </c>
      <c r="K82" s="84">
        <v>1200000</v>
      </c>
    </row>
    <row r="83" spans="1:11" x14ac:dyDescent="0.65">
      <c r="A83" s="82">
        <v>5914</v>
      </c>
      <c r="B83" s="83" t="s">
        <v>125</v>
      </c>
      <c r="C83" s="83">
        <f>VLOOKUP(A83,دی!A:C,3,0)</f>
        <v>14</v>
      </c>
      <c r="D83" s="83">
        <v>1404</v>
      </c>
      <c r="E83" s="83">
        <v>11</v>
      </c>
      <c r="F83" s="84">
        <v>0</v>
      </c>
      <c r="G83" s="84">
        <v>129999999</v>
      </c>
      <c r="H83" s="84">
        <v>0</v>
      </c>
      <c r="I83" s="84">
        <v>0</v>
      </c>
      <c r="J83" s="84">
        <v>0</v>
      </c>
      <c r="K83" s="84">
        <v>5400000</v>
      </c>
    </row>
    <row r="84" spans="1:11" x14ac:dyDescent="0.65">
      <c r="A84" s="82">
        <v>5918</v>
      </c>
      <c r="B84" s="83" t="s">
        <v>126</v>
      </c>
      <c r="C84" s="83">
        <f>VLOOKUP(A84,دی!A:C,3,0)</f>
        <v>9</v>
      </c>
      <c r="D84" s="83">
        <v>1404</v>
      </c>
      <c r="E84" s="83">
        <v>11</v>
      </c>
      <c r="F84" s="84">
        <v>39800000</v>
      </c>
      <c r="G84" s="84">
        <v>95853333</v>
      </c>
      <c r="H84" s="84">
        <v>0</v>
      </c>
      <c r="I84" s="84">
        <v>41963988</v>
      </c>
      <c r="J84" s="84">
        <v>0</v>
      </c>
      <c r="K84" s="84">
        <v>1200000</v>
      </c>
    </row>
    <row r="85" spans="1:11" x14ac:dyDescent="0.65">
      <c r="A85" s="82">
        <v>5919</v>
      </c>
      <c r="B85" s="83" t="s">
        <v>127</v>
      </c>
      <c r="C85" s="83">
        <f>VLOOKUP(A85,دی!A:C,3,0)</f>
        <v>152</v>
      </c>
      <c r="D85" s="83">
        <v>1404</v>
      </c>
      <c r="E85" s="83">
        <v>11</v>
      </c>
      <c r="F85" s="84">
        <v>39800000</v>
      </c>
      <c r="G85" s="84">
        <v>0</v>
      </c>
      <c r="H85" s="84">
        <v>0</v>
      </c>
      <c r="I85" s="84">
        <v>0</v>
      </c>
      <c r="J85" s="84">
        <v>0</v>
      </c>
      <c r="K85" s="84">
        <v>5100000</v>
      </c>
    </row>
    <row r="86" spans="1:11" x14ac:dyDescent="0.65">
      <c r="A86" s="82">
        <v>5924</v>
      </c>
      <c r="B86" s="83" t="s">
        <v>130</v>
      </c>
      <c r="C86" s="83">
        <f>VLOOKUP(A86,دی!A:C,3,0)</f>
        <v>54</v>
      </c>
      <c r="D86" s="83">
        <v>1404</v>
      </c>
      <c r="E86" s="83">
        <v>11</v>
      </c>
      <c r="F86" s="84">
        <v>19900000</v>
      </c>
      <c r="G86" s="84">
        <v>90000000</v>
      </c>
      <c r="H86" s="84">
        <v>0</v>
      </c>
      <c r="I86" s="84">
        <v>0</v>
      </c>
      <c r="J86" s="84">
        <v>0</v>
      </c>
      <c r="K86" s="84">
        <v>8800000</v>
      </c>
    </row>
    <row r="87" spans="1:11" x14ac:dyDescent="0.65">
      <c r="A87" s="82">
        <v>5926</v>
      </c>
      <c r="B87" s="83" t="s">
        <v>131</v>
      </c>
      <c r="C87" s="83">
        <f>VLOOKUP(A87,دی!A:C,3,0)</f>
        <v>112</v>
      </c>
      <c r="D87" s="83">
        <v>1404</v>
      </c>
      <c r="E87" s="83">
        <v>11</v>
      </c>
      <c r="F87" s="84">
        <v>39800000</v>
      </c>
      <c r="G87" s="84">
        <v>90000000</v>
      </c>
      <c r="H87" s="84">
        <v>0</v>
      </c>
      <c r="I87" s="84">
        <v>37142775</v>
      </c>
      <c r="J87" s="84">
        <v>0</v>
      </c>
      <c r="K87" s="84">
        <v>7100000</v>
      </c>
    </row>
    <row r="88" spans="1:11" x14ac:dyDescent="0.65">
      <c r="A88" s="82">
        <v>5927</v>
      </c>
      <c r="B88" s="83" t="s">
        <v>132</v>
      </c>
      <c r="C88" s="83">
        <f>VLOOKUP(A88,دی!A:C,3,0)</f>
        <v>153</v>
      </c>
      <c r="D88" s="83">
        <v>1404</v>
      </c>
      <c r="E88" s="83">
        <v>11</v>
      </c>
      <c r="F88" s="84">
        <v>9950000</v>
      </c>
      <c r="G88" s="84">
        <v>30000000</v>
      </c>
      <c r="H88" s="84">
        <v>0</v>
      </c>
      <c r="I88" s="84">
        <v>0</v>
      </c>
      <c r="J88" s="84">
        <v>0</v>
      </c>
      <c r="K88" s="84">
        <v>16000000</v>
      </c>
    </row>
    <row r="89" spans="1:11" x14ac:dyDescent="0.65">
      <c r="A89" s="82">
        <v>5931</v>
      </c>
      <c r="B89" s="83" t="s">
        <v>133</v>
      </c>
      <c r="C89" s="83">
        <f>VLOOKUP(A89,دی!A:C,3,0)</f>
        <v>113</v>
      </c>
      <c r="D89" s="83">
        <v>1404</v>
      </c>
      <c r="E89" s="83">
        <v>11</v>
      </c>
      <c r="F89" s="84">
        <v>39800000</v>
      </c>
      <c r="G89" s="84">
        <v>0</v>
      </c>
      <c r="H89" s="84">
        <v>0</v>
      </c>
      <c r="I89" s="84">
        <v>0</v>
      </c>
      <c r="J89" s="84">
        <v>0</v>
      </c>
      <c r="K89" s="84">
        <v>36000000</v>
      </c>
    </row>
    <row r="90" spans="1:11" x14ac:dyDescent="0.65">
      <c r="A90" s="82">
        <v>5936</v>
      </c>
      <c r="B90" s="83" t="s">
        <v>134</v>
      </c>
      <c r="C90" s="83">
        <f>VLOOKUP(A90,دی!A:C,3,0)</f>
        <v>11</v>
      </c>
      <c r="D90" s="83">
        <v>1404</v>
      </c>
      <c r="E90" s="83">
        <v>11</v>
      </c>
      <c r="F90" s="84">
        <v>39800000</v>
      </c>
      <c r="G90" s="84">
        <v>77717000</v>
      </c>
      <c r="H90" s="84">
        <v>0</v>
      </c>
      <c r="I90" s="84">
        <v>0</v>
      </c>
      <c r="J90" s="84">
        <v>0</v>
      </c>
      <c r="K90" s="84">
        <v>4200000</v>
      </c>
    </row>
    <row r="91" spans="1:11" x14ac:dyDescent="0.65">
      <c r="A91" s="82">
        <v>5937</v>
      </c>
      <c r="B91" s="83" t="s">
        <v>285</v>
      </c>
      <c r="C91" s="83">
        <f>VLOOKUP(A91,دی!A:C,3,0)</f>
        <v>175</v>
      </c>
      <c r="D91" s="83">
        <v>1404</v>
      </c>
      <c r="E91" s="83">
        <v>11</v>
      </c>
      <c r="F91" s="84">
        <v>0</v>
      </c>
      <c r="G91" s="84">
        <v>30000000</v>
      </c>
      <c r="H91" s="84">
        <v>0</v>
      </c>
      <c r="I91" s="84">
        <v>0</v>
      </c>
      <c r="J91" s="84">
        <v>0</v>
      </c>
      <c r="K91" s="84">
        <v>8200000</v>
      </c>
    </row>
    <row r="92" spans="1:11" x14ac:dyDescent="0.65">
      <c r="A92" s="82">
        <v>5941</v>
      </c>
      <c r="B92" s="83" t="s">
        <v>137</v>
      </c>
      <c r="C92" s="83">
        <f>VLOOKUP(A92,دی!A:C,3,0)</f>
        <v>184</v>
      </c>
      <c r="D92" s="83">
        <v>1404</v>
      </c>
      <c r="E92" s="83">
        <v>11</v>
      </c>
      <c r="F92" s="84">
        <v>9950000</v>
      </c>
      <c r="G92" s="84">
        <v>30000000</v>
      </c>
      <c r="H92" s="84">
        <v>0</v>
      </c>
      <c r="I92" s="84">
        <v>0</v>
      </c>
      <c r="J92" s="84">
        <v>0</v>
      </c>
      <c r="K92" s="84">
        <v>14700000</v>
      </c>
    </row>
    <row r="93" spans="1:11" x14ac:dyDescent="0.65">
      <c r="A93" s="82">
        <v>5944</v>
      </c>
      <c r="B93" s="83" t="s">
        <v>139</v>
      </c>
      <c r="C93" s="83">
        <f>VLOOKUP(A93,دی!A:C,3,0)</f>
        <v>173</v>
      </c>
      <c r="D93" s="83">
        <v>1404</v>
      </c>
      <c r="E93" s="83">
        <v>11</v>
      </c>
      <c r="F93" s="84">
        <v>29850000</v>
      </c>
      <c r="G93" s="84">
        <v>0</v>
      </c>
      <c r="H93" s="84">
        <v>0</v>
      </c>
      <c r="I93" s="84">
        <v>0</v>
      </c>
      <c r="J93" s="84">
        <v>0</v>
      </c>
      <c r="K93" s="84">
        <v>16700000</v>
      </c>
    </row>
    <row r="94" spans="1:11" x14ac:dyDescent="0.65">
      <c r="A94" s="82">
        <v>5950</v>
      </c>
      <c r="B94" s="83" t="s">
        <v>141</v>
      </c>
      <c r="C94" s="83">
        <f>VLOOKUP(A94,دی!A:C,3,0)</f>
        <v>308</v>
      </c>
      <c r="D94" s="83">
        <v>1404</v>
      </c>
      <c r="E94" s="83">
        <v>11</v>
      </c>
      <c r="F94" s="84">
        <v>39800000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</row>
    <row r="95" spans="1:11" x14ac:dyDescent="0.65">
      <c r="A95" s="82">
        <v>5952</v>
      </c>
      <c r="B95" s="83" t="s">
        <v>215</v>
      </c>
      <c r="C95" s="83">
        <f>VLOOKUP(A95,دی!A:C,3,0)</f>
        <v>307</v>
      </c>
      <c r="D95" s="83">
        <v>1404</v>
      </c>
      <c r="E95" s="83">
        <v>11</v>
      </c>
      <c r="F95" s="84">
        <v>0</v>
      </c>
      <c r="G95" s="84">
        <v>30000000</v>
      </c>
      <c r="H95" s="84">
        <v>0</v>
      </c>
      <c r="I95" s="84">
        <v>0</v>
      </c>
      <c r="J95" s="84">
        <v>0</v>
      </c>
      <c r="K95" s="84">
        <v>0</v>
      </c>
    </row>
    <row r="96" spans="1:11" x14ac:dyDescent="0.65">
      <c r="A96" s="82">
        <v>5957</v>
      </c>
      <c r="B96" s="83" t="s">
        <v>142</v>
      </c>
      <c r="C96" s="83">
        <f>VLOOKUP(A96,دی!A:C,3,0)</f>
        <v>88</v>
      </c>
      <c r="D96" s="83">
        <v>1404</v>
      </c>
      <c r="E96" s="83">
        <v>11</v>
      </c>
      <c r="F96" s="84">
        <v>9950000</v>
      </c>
      <c r="G96" s="84">
        <v>30000000</v>
      </c>
      <c r="H96" s="84">
        <v>0</v>
      </c>
      <c r="I96" s="84">
        <v>11944609</v>
      </c>
      <c r="J96" s="84">
        <v>0</v>
      </c>
      <c r="K96" s="84">
        <v>10200000</v>
      </c>
    </row>
    <row r="97" spans="1:11" x14ac:dyDescent="0.65">
      <c r="A97" s="82">
        <v>5958</v>
      </c>
      <c r="B97" s="83" t="s">
        <v>143</v>
      </c>
      <c r="C97" s="83">
        <f>VLOOKUP(A97,دی!A:C,3,0)</f>
        <v>309</v>
      </c>
      <c r="D97" s="83">
        <v>1404</v>
      </c>
      <c r="E97" s="83">
        <v>11</v>
      </c>
      <c r="F97" s="84">
        <v>0</v>
      </c>
      <c r="G97" s="84">
        <v>30000000</v>
      </c>
      <c r="H97" s="84">
        <v>0</v>
      </c>
      <c r="I97" s="84">
        <v>0</v>
      </c>
      <c r="J97" s="84">
        <v>0</v>
      </c>
      <c r="K97" s="84">
        <v>8800000</v>
      </c>
    </row>
    <row r="98" spans="1:11" x14ac:dyDescent="0.65">
      <c r="A98" s="82">
        <v>5960</v>
      </c>
      <c r="B98" s="83" t="s">
        <v>144</v>
      </c>
      <c r="C98" s="83">
        <f>VLOOKUP(A98,دی!A:C,3,0)</f>
        <v>115</v>
      </c>
      <c r="D98" s="83">
        <v>1404</v>
      </c>
      <c r="E98" s="83">
        <v>11</v>
      </c>
      <c r="F98" s="84">
        <v>39800000</v>
      </c>
      <c r="G98" s="84">
        <v>2000000</v>
      </c>
      <c r="H98" s="84">
        <v>0</v>
      </c>
      <c r="I98" s="84">
        <v>0</v>
      </c>
      <c r="J98" s="84">
        <v>0</v>
      </c>
      <c r="K98" s="84">
        <v>8800000</v>
      </c>
    </row>
    <row r="99" spans="1:11" x14ac:dyDescent="0.65">
      <c r="A99" s="82">
        <v>5961</v>
      </c>
      <c r="B99" s="83" t="s">
        <v>145</v>
      </c>
      <c r="C99" s="83">
        <f>VLOOKUP(A99,دی!A:C,3,0)</f>
        <v>1</v>
      </c>
      <c r="D99" s="83">
        <v>1404</v>
      </c>
      <c r="E99" s="83">
        <v>11</v>
      </c>
      <c r="F99" s="84">
        <v>39800000</v>
      </c>
      <c r="G99" s="84">
        <v>30000000</v>
      </c>
      <c r="H99" s="84">
        <v>0</v>
      </c>
      <c r="I99" s="84">
        <v>0</v>
      </c>
      <c r="J99" s="84">
        <v>0</v>
      </c>
      <c r="K99" s="84">
        <v>5400000</v>
      </c>
    </row>
    <row r="100" spans="1:11" x14ac:dyDescent="0.65">
      <c r="A100" s="82">
        <v>5962</v>
      </c>
      <c r="B100" s="83" t="s">
        <v>146</v>
      </c>
      <c r="C100" s="83">
        <f>VLOOKUP(A100,دی!A:C,3,0)</f>
        <v>33</v>
      </c>
      <c r="D100" s="83">
        <v>1404</v>
      </c>
      <c r="E100" s="83">
        <v>11</v>
      </c>
      <c r="F100" s="84">
        <v>19900000</v>
      </c>
      <c r="G100" s="84">
        <v>30000000</v>
      </c>
      <c r="H100" s="84">
        <v>0</v>
      </c>
      <c r="I100" s="84">
        <v>63282842</v>
      </c>
      <c r="J100" s="84">
        <v>0</v>
      </c>
      <c r="K100" s="84">
        <v>8200000</v>
      </c>
    </row>
    <row r="101" spans="1:11" x14ac:dyDescent="0.65">
      <c r="A101" s="82">
        <v>5966</v>
      </c>
      <c r="B101" s="83" t="s">
        <v>147</v>
      </c>
      <c r="C101" s="83">
        <f>VLOOKUP(A101,دی!A:C,3,0)</f>
        <v>172</v>
      </c>
      <c r="D101" s="83">
        <v>1404</v>
      </c>
      <c r="E101" s="83">
        <v>11</v>
      </c>
      <c r="F101" s="84">
        <v>19900000</v>
      </c>
      <c r="G101" s="84">
        <v>0</v>
      </c>
      <c r="H101" s="84">
        <v>0</v>
      </c>
      <c r="I101" s="84">
        <v>0</v>
      </c>
      <c r="J101" s="84">
        <v>0</v>
      </c>
      <c r="K101" s="84">
        <v>8800000</v>
      </c>
    </row>
    <row r="102" spans="1:11" x14ac:dyDescent="0.65">
      <c r="A102" s="82">
        <v>5968</v>
      </c>
      <c r="B102" s="83" t="s">
        <v>149</v>
      </c>
      <c r="C102" s="83">
        <f>VLOOKUP(A102,دی!A:C,3,0)</f>
        <v>202</v>
      </c>
      <c r="D102" s="83">
        <v>1404</v>
      </c>
      <c r="E102" s="83">
        <v>11</v>
      </c>
      <c r="F102" s="84">
        <v>29850000</v>
      </c>
      <c r="G102" s="84">
        <v>30000000</v>
      </c>
      <c r="H102" s="84">
        <v>0</v>
      </c>
      <c r="I102" s="84">
        <v>0</v>
      </c>
      <c r="J102" s="84">
        <v>0</v>
      </c>
      <c r="K102" s="84">
        <v>1375000</v>
      </c>
    </row>
    <row r="103" spans="1:11" x14ac:dyDescent="0.65">
      <c r="A103" s="82">
        <v>5976</v>
      </c>
      <c r="B103" s="83" t="s">
        <v>150</v>
      </c>
      <c r="C103" s="83">
        <f>VLOOKUP(A103,دی!A:C,3,0)</f>
        <v>326</v>
      </c>
      <c r="D103" s="83">
        <v>1404</v>
      </c>
      <c r="E103" s="83">
        <v>11</v>
      </c>
      <c r="F103" s="84">
        <v>29850000</v>
      </c>
      <c r="G103" s="84">
        <v>0</v>
      </c>
      <c r="H103" s="84">
        <v>0</v>
      </c>
      <c r="I103" s="84">
        <v>0</v>
      </c>
      <c r="J103" s="84">
        <v>0</v>
      </c>
      <c r="K103" s="84">
        <v>8000000</v>
      </c>
    </row>
    <row r="104" spans="1:11" x14ac:dyDescent="0.65">
      <c r="A104" s="82">
        <v>5981</v>
      </c>
      <c r="B104" s="83" t="s">
        <v>222</v>
      </c>
      <c r="C104" s="83">
        <f>VLOOKUP(A104,دی!A:C,3,0)</f>
        <v>335</v>
      </c>
      <c r="D104" s="83">
        <v>1404</v>
      </c>
      <c r="E104" s="83">
        <v>11</v>
      </c>
      <c r="F104" s="84">
        <v>0</v>
      </c>
      <c r="G104" s="84">
        <v>66666666</v>
      </c>
      <c r="H104" s="84">
        <v>0</v>
      </c>
      <c r="I104" s="84">
        <v>0</v>
      </c>
      <c r="J104" s="84">
        <v>0</v>
      </c>
      <c r="K104" s="84">
        <v>2700000</v>
      </c>
    </row>
    <row r="105" spans="1:11" x14ac:dyDescent="0.65">
      <c r="A105" s="82">
        <v>5982</v>
      </c>
      <c r="B105" s="83" t="s">
        <v>151</v>
      </c>
      <c r="C105" s="83">
        <f>VLOOKUP(A105,دی!A:C,3,0)</f>
        <v>332</v>
      </c>
      <c r="D105" s="83">
        <v>1404</v>
      </c>
      <c r="E105" s="83">
        <v>11</v>
      </c>
      <c r="F105" s="84">
        <v>0</v>
      </c>
      <c r="G105" s="84">
        <v>30000000</v>
      </c>
      <c r="H105" s="84">
        <v>0</v>
      </c>
      <c r="I105" s="84">
        <v>0</v>
      </c>
      <c r="J105" s="84">
        <v>0</v>
      </c>
      <c r="K105" s="84">
        <v>11600000</v>
      </c>
    </row>
    <row r="106" spans="1:11" x14ac:dyDescent="0.65">
      <c r="A106" s="82">
        <v>5988</v>
      </c>
      <c r="B106" s="83" t="s">
        <v>152</v>
      </c>
      <c r="C106" s="83">
        <f>VLOOKUP(A106,دی!A:C,3,0)</f>
        <v>323</v>
      </c>
      <c r="D106" s="83">
        <v>1404</v>
      </c>
      <c r="E106" s="83">
        <v>11</v>
      </c>
      <c r="F106" s="84">
        <v>49750000</v>
      </c>
      <c r="G106" s="84">
        <v>130000000</v>
      </c>
      <c r="H106" s="84">
        <v>0</v>
      </c>
      <c r="I106" s="84">
        <v>185190150</v>
      </c>
      <c r="J106" s="84">
        <v>0</v>
      </c>
      <c r="K106" s="84">
        <v>600000</v>
      </c>
    </row>
    <row r="107" spans="1:11" x14ac:dyDescent="0.65">
      <c r="A107" s="82">
        <v>5995</v>
      </c>
      <c r="B107" s="83" t="s">
        <v>155</v>
      </c>
      <c r="C107" s="83">
        <f>VLOOKUP(A107,دی!A:C,3,0)</f>
        <v>328</v>
      </c>
      <c r="D107" s="83">
        <v>1404</v>
      </c>
      <c r="E107" s="83">
        <v>11</v>
      </c>
      <c r="F107" s="84">
        <v>9950000</v>
      </c>
      <c r="G107" s="84">
        <v>0</v>
      </c>
      <c r="H107" s="84">
        <v>0</v>
      </c>
      <c r="I107" s="84">
        <v>0</v>
      </c>
      <c r="J107" s="84">
        <v>0</v>
      </c>
      <c r="K107" s="84">
        <v>7100000</v>
      </c>
    </row>
    <row r="108" spans="1:11" x14ac:dyDescent="0.65">
      <c r="A108" s="82">
        <v>6001</v>
      </c>
      <c r="B108" s="83" t="s">
        <v>227</v>
      </c>
      <c r="C108" s="83">
        <f>VLOOKUP(A108,دی!A:C,3,0)</f>
        <v>366</v>
      </c>
      <c r="D108" s="83">
        <v>1404</v>
      </c>
      <c r="E108" s="83">
        <v>11</v>
      </c>
      <c r="F108" s="84">
        <v>49750000</v>
      </c>
      <c r="G108" s="84">
        <v>0</v>
      </c>
      <c r="H108" s="84">
        <v>0</v>
      </c>
      <c r="I108" s="84">
        <v>0</v>
      </c>
      <c r="J108" s="84">
        <v>0</v>
      </c>
      <c r="K108" s="84">
        <v>0</v>
      </c>
    </row>
    <row r="109" spans="1:11" x14ac:dyDescent="0.65">
      <c r="A109" s="82">
        <v>6004</v>
      </c>
      <c r="B109" s="83" t="s">
        <v>158</v>
      </c>
      <c r="C109" s="83">
        <f>VLOOKUP(A109,دی!A:C,3,0)</f>
        <v>352</v>
      </c>
      <c r="D109" s="83">
        <v>1404</v>
      </c>
      <c r="E109" s="83">
        <v>11</v>
      </c>
      <c r="F109" s="84">
        <v>39800000</v>
      </c>
      <c r="G109" s="84">
        <v>0</v>
      </c>
      <c r="H109" s="84">
        <v>0</v>
      </c>
      <c r="I109" s="84">
        <v>0</v>
      </c>
      <c r="J109" s="84">
        <v>0</v>
      </c>
      <c r="K109" s="84">
        <v>0</v>
      </c>
    </row>
    <row r="110" spans="1:11" x14ac:dyDescent="0.65">
      <c r="A110" s="82">
        <v>6006</v>
      </c>
      <c r="B110" s="83" t="s">
        <v>159</v>
      </c>
      <c r="C110" s="83">
        <f>VLOOKUP(A110,دی!A:C,3,0)</f>
        <v>341</v>
      </c>
      <c r="D110" s="83">
        <v>1404</v>
      </c>
      <c r="E110" s="83">
        <v>11</v>
      </c>
      <c r="F110" s="84">
        <v>9950000</v>
      </c>
      <c r="G110" s="84">
        <v>0</v>
      </c>
      <c r="H110" s="84">
        <v>0</v>
      </c>
      <c r="I110" s="84">
        <v>0</v>
      </c>
      <c r="J110" s="84">
        <v>0</v>
      </c>
      <c r="K110" s="84">
        <v>9900000</v>
      </c>
    </row>
    <row r="111" spans="1:11" x14ac:dyDescent="0.65">
      <c r="A111" s="82">
        <v>6011</v>
      </c>
      <c r="B111" s="83" t="s">
        <v>160</v>
      </c>
      <c r="C111" s="83">
        <f>VLOOKUP(A111,دی!A:C,3,0)</f>
        <v>345</v>
      </c>
      <c r="D111" s="83">
        <v>1404</v>
      </c>
      <c r="E111" s="83">
        <v>11</v>
      </c>
      <c r="F111" s="84">
        <v>0</v>
      </c>
      <c r="G111" s="84">
        <v>40000000</v>
      </c>
      <c r="H111" s="84">
        <v>0</v>
      </c>
      <c r="I111" s="84">
        <v>93328205</v>
      </c>
      <c r="J111" s="84">
        <v>0</v>
      </c>
      <c r="K111" s="84">
        <v>0</v>
      </c>
    </row>
    <row r="112" spans="1:11" x14ac:dyDescent="0.65">
      <c r="A112" s="82">
        <v>6015</v>
      </c>
      <c r="B112" s="83" t="s">
        <v>162</v>
      </c>
      <c r="C112" s="83">
        <f>VLOOKUP(A112,دی!A:C,3,0)</f>
        <v>359</v>
      </c>
      <c r="D112" s="83">
        <v>1404</v>
      </c>
      <c r="E112" s="83">
        <v>11</v>
      </c>
      <c r="F112" s="84">
        <v>0</v>
      </c>
      <c r="G112" s="84">
        <v>30000000</v>
      </c>
      <c r="H112" s="84">
        <v>0</v>
      </c>
      <c r="I112" s="84">
        <v>0</v>
      </c>
      <c r="J112" s="84">
        <v>0</v>
      </c>
      <c r="K112" s="84">
        <v>1439900</v>
      </c>
    </row>
    <row r="113" spans="1:11" x14ac:dyDescent="0.65">
      <c r="A113" s="82">
        <v>6016</v>
      </c>
      <c r="B113" s="83" t="s">
        <v>163</v>
      </c>
      <c r="C113" s="83">
        <f>VLOOKUP(A113,دی!A:C,3,0)</f>
        <v>375</v>
      </c>
      <c r="D113" s="83">
        <v>1404</v>
      </c>
      <c r="E113" s="83">
        <v>11</v>
      </c>
      <c r="F113" s="84">
        <v>9950000</v>
      </c>
      <c r="G113" s="84">
        <v>30000000</v>
      </c>
      <c r="H113" s="84">
        <v>0</v>
      </c>
      <c r="I113" s="84">
        <v>0</v>
      </c>
      <c r="J113" s="84">
        <v>0</v>
      </c>
      <c r="K113" s="84">
        <v>3200000</v>
      </c>
    </row>
    <row r="114" spans="1:11" x14ac:dyDescent="0.65">
      <c r="A114" s="82">
        <v>6020</v>
      </c>
      <c r="B114" s="83" t="s">
        <v>167</v>
      </c>
      <c r="C114" s="83">
        <f>VLOOKUP(A114,دی!A:C,3,0)</f>
        <v>425</v>
      </c>
      <c r="D114" s="83">
        <v>1404</v>
      </c>
      <c r="E114" s="83">
        <v>11</v>
      </c>
      <c r="F114" s="84">
        <v>19900000</v>
      </c>
      <c r="G114" s="84">
        <v>0</v>
      </c>
      <c r="H114" s="84">
        <v>13783502</v>
      </c>
      <c r="I114" s="84">
        <v>0</v>
      </c>
      <c r="J114" s="84">
        <v>0</v>
      </c>
      <c r="K114" s="84">
        <v>13900000</v>
      </c>
    </row>
    <row r="115" spans="1:11" x14ac:dyDescent="0.65">
      <c r="A115" s="82">
        <v>6026</v>
      </c>
      <c r="B115" s="83" t="s">
        <v>170</v>
      </c>
      <c r="C115" s="83">
        <f>VLOOKUP(A115,دی!A:C,3,0)</f>
        <v>370</v>
      </c>
      <c r="D115" s="83">
        <v>1404</v>
      </c>
      <c r="E115" s="83">
        <v>11</v>
      </c>
      <c r="F115" s="84">
        <v>0</v>
      </c>
      <c r="G115" s="84">
        <v>40000000</v>
      </c>
      <c r="H115" s="84">
        <v>0</v>
      </c>
      <c r="I115" s="84">
        <v>90735614</v>
      </c>
      <c r="J115" s="84">
        <v>0</v>
      </c>
      <c r="K115" s="84">
        <v>1500000</v>
      </c>
    </row>
    <row r="116" spans="1:11" x14ac:dyDescent="0.65">
      <c r="A116" s="82">
        <v>6028</v>
      </c>
      <c r="B116" s="83" t="s">
        <v>171</v>
      </c>
      <c r="C116" s="83">
        <f>VLOOKUP(A116,دی!A:C,3,0)</f>
        <v>398</v>
      </c>
      <c r="D116" s="83">
        <v>1404</v>
      </c>
      <c r="E116" s="83">
        <v>11</v>
      </c>
      <c r="F116" s="84">
        <v>19900000</v>
      </c>
      <c r="G116" s="84">
        <v>30000000</v>
      </c>
      <c r="H116" s="84">
        <v>0</v>
      </c>
      <c r="I116" s="84">
        <v>29715596</v>
      </c>
      <c r="J116" s="84">
        <v>0</v>
      </c>
      <c r="K116" s="84">
        <v>0</v>
      </c>
    </row>
    <row r="117" spans="1:11" x14ac:dyDescent="0.65">
      <c r="A117" s="82">
        <v>6030</v>
      </c>
      <c r="B117" s="83" t="s">
        <v>229</v>
      </c>
      <c r="C117" s="83">
        <f>VLOOKUP(A117,دی!A:C,3,0)</f>
        <v>348</v>
      </c>
      <c r="D117" s="83">
        <v>1404</v>
      </c>
      <c r="E117" s="83">
        <v>11</v>
      </c>
      <c r="F117" s="84">
        <v>9950000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</row>
    <row r="118" spans="1:11" x14ac:dyDescent="0.65">
      <c r="A118" s="82">
        <v>6037</v>
      </c>
      <c r="B118" s="83" t="s">
        <v>174</v>
      </c>
      <c r="C118" s="83">
        <f>VLOOKUP(A118,دی!A:C,3,0)</f>
        <v>387</v>
      </c>
      <c r="D118" s="83">
        <v>1404</v>
      </c>
      <c r="E118" s="83">
        <v>11</v>
      </c>
      <c r="F118" s="84">
        <v>39800000</v>
      </c>
      <c r="G118" s="84">
        <v>63333333</v>
      </c>
      <c r="H118" s="84">
        <v>0</v>
      </c>
      <c r="I118" s="84">
        <v>0</v>
      </c>
      <c r="J118" s="84">
        <v>0</v>
      </c>
      <c r="K118" s="84">
        <v>8500000</v>
      </c>
    </row>
    <row r="119" spans="1:11" x14ac:dyDescent="0.65">
      <c r="A119" s="82">
        <v>6041</v>
      </c>
      <c r="B119" s="83" t="s">
        <v>175</v>
      </c>
      <c r="C119" s="83">
        <f>VLOOKUP(A119,دی!A:C,3,0)</f>
        <v>338</v>
      </c>
      <c r="D119" s="83">
        <v>1404</v>
      </c>
      <c r="E119" s="83">
        <v>11</v>
      </c>
      <c r="F119" s="84">
        <v>39800000</v>
      </c>
      <c r="G119" s="84">
        <v>80000000</v>
      </c>
      <c r="H119" s="84">
        <v>0</v>
      </c>
      <c r="I119" s="84">
        <v>0</v>
      </c>
      <c r="J119" s="84">
        <v>0</v>
      </c>
      <c r="K119" s="84">
        <v>1200000</v>
      </c>
    </row>
    <row r="120" spans="1:11" x14ac:dyDescent="0.65">
      <c r="A120" s="82">
        <v>6042</v>
      </c>
      <c r="B120" s="83" t="s">
        <v>176</v>
      </c>
      <c r="C120" s="83">
        <f>VLOOKUP(A120,دی!A:C,3,0)</f>
        <v>378</v>
      </c>
      <c r="D120" s="83">
        <v>1404</v>
      </c>
      <c r="E120" s="83">
        <v>11</v>
      </c>
      <c r="F120" s="84">
        <v>9950000</v>
      </c>
      <c r="G120" s="84">
        <v>0</v>
      </c>
      <c r="H120" s="84">
        <v>0</v>
      </c>
      <c r="I120" s="84">
        <v>0</v>
      </c>
      <c r="J120" s="84">
        <v>0</v>
      </c>
      <c r="K120" s="84">
        <v>2600000</v>
      </c>
    </row>
    <row r="121" spans="1:11" x14ac:dyDescent="0.65">
      <c r="A121" s="82">
        <v>6045</v>
      </c>
      <c r="B121" s="83" t="s">
        <v>178</v>
      </c>
      <c r="C121" s="83">
        <f>VLOOKUP(A121,دی!A:C,3,0)</f>
        <v>388</v>
      </c>
      <c r="D121" s="83">
        <v>1404</v>
      </c>
      <c r="E121" s="83">
        <v>11</v>
      </c>
      <c r="F121" s="84">
        <v>19900000</v>
      </c>
      <c r="G121" s="84">
        <v>0</v>
      </c>
      <c r="H121" s="84">
        <v>0</v>
      </c>
      <c r="I121" s="84">
        <v>0</v>
      </c>
      <c r="J121" s="84">
        <v>0</v>
      </c>
      <c r="K121" s="84">
        <v>2400000</v>
      </c>
    </row>
    <row r="122" spans="1:11" x14ac:dyDescent="0.65">
      <c r="A122" s="82">
        <v>6055</v>
      </c>
      <c r="B122" s="83" t="s">
        <v>180</v>
      </c>
      <c r="C122" s="83">
        <f>VLOOKUP(A122,دی!A:C,3,0)</f>
        <v>400</v>
      </c>
      <c r="D122" s="83">
        <v>1404</v>
      </c>
      <c r="E122" s="83">
        <v>11</v>
      </c>
      <c r="F122" s="84">
        <v>9950000</v>
      </c>
      <c r="G122" s="84">
        <v>30000000</v>
      </c>
      <c r="H122" s="84">
        <v>0</v>
      </c>
      <c r="I122" s="84">
        <v>0</v>
      </c>
      <c r="J122" s="84">
        <v>0</v>
      </c>
      <c r="K122" s="84">
        <v>8200000</v>
      </c>
    </row>
    <row r="123" spans="1:11" x14ac:dyDescent="0.65">
      <c r="A123" s="82">
        <v>6059</v>
      </c>
      <c r="B123" s="83" t="s">
        <v>182</v>
      </c>
      <c r="C123" s="83">
        <f>VLOOKUP(A123,دی!A:C,3,0)</f>
        <v>201</v>
      </c>
      <c r="D123" s="83">
        <v>1404</v>
      </c>
      <c r="E123" s="83">
        <v>11</v>
      </c>
      <c r="F123" s="84">
        <v>0</v>
      </c>
      <c r="G123" s="84">
        <v>60000000</v>
      </c>
      <c r="H123" s="84">
        <v>25400739</v>
      </c>
      <c r="I123" s="84">
        <v>0</v>
      </c>
      <c r="J123" s="84">
        <v>0</v>
      </c>
      <c r="K123" s="84">
        <v>5400000</v>
      </c>
    </row>
    <row r="124" spans="1:11" x14ac:dyDescent="0.65">
      <c r="A124" s="82">
        <v>6061</v>
      </c>
      <c r="B124" s="83" t="s">
        <v>183</v>
      </c>
      <c r="C124" s="83">
        <f>VLOOKUP(A124,دی!A:C,3,0)</f>
        <v>407</v>
      </c>
      <c r="D124" s="83">
        <v>1404</v>
      </c>
      <c r="E124" s="83">
        <v>11</v>
      </c>
      <c r="F124" s="84">
        <v>9950000</v>
      </c>
      <c r="G124" s="84">
        <v>0</v>
      </c>
      <c r="H124" s="84">
        <v>0</v>
      </c>
      <c r="I124" s="84">
        <v>0</v>
      </c>
      <c r="J124" s="84">
        <v>0</v>
      </c>
      <c r="K124" s="84">
        <v>5299300</v>
      </c>
    </row>
    <row r="125" spans="1:11" x14ac:dyDescent="0.65">
      <c r="A125" s="82">
        <v>6064</v>
      </c>
      <c r="B125" s="83" t="s">
        <v>269</v>
      </c>
      <c r="C125" s="83">
        <f>VLOOKUP(A125,دی!A:C,3,0)</f>
        <v>412</v>
      </c>
      <c r="D125" s="83">
        <v>1404</v>
      </c>
      <c r="E125" s="83">
        <v>11</v>
      </c>
      <c r="F125" s="84">
        <v>19900000</v>
      </c>
      <c r="G125" s="84">
        <v>0</v>
      </c>
      <c r="H125" s="84">
        <v>0</v>
      </c>
      <c r="I125" s="84">
        <v>0</v>
      </c>
      <c r="J125" s="84">
        <v>0</v>
      </c>
      <c r="K125" s="84">
        <v>1500000</v>
      </c>
    </row>
    <row r="126" spans="1:11" x14ac:dyDescent="0.65">
      <c r="A126" s="82">
        <v>6069</v>
      </c>
      <c r="B126" s="83" t="s">
        <v>185</v>
      </c>
      <c r="C126" s="83">
        <f>VLOOKUP(A126,دی!A:C,3,0)</f>
        <v>418</v>
      </c>
      <c r="D126" s="83">
        <v>1404</v>
      </c>
      <c r="E126" s="83">
        <v>11</v>
      </c>
      <c r="F126" s="84">
        <v>19900000</v>
      </c>
      <c r="G126" s="84">
        <v>100000000</v>
      </c>
      <c r="H126" s="84">
        <v>0</v>
      </c>
      <c r="I126" s="84">
        <v>0</v>
      </c>
      <c r="J126" s="84">
        <v>0</v>
      </c>
      <c r="K126" s="84">
        <v>12200000</v>
      </c>
    </row>
    <row r="127" spans="1:11" x14ac:dyDescent="0.65">
      <c r="A127" s="82">
        <v>6072</v>
      </c>
      <c r="B127" s="83" t="s">
        <v>186</v>
      </c>
      <c r="C127" s="83">
        <f>VLOOKUP(A127,دی!A:C,3,0)</f>
        <v>426</v>
      </c>
      <c r="D127" s="83">
        <v>1404</v>
      </c>
      <c r="E127" s="83">
        <v>11</v>
      </c>
      <c r="F127" s="84">
        <v>0</v>
      </c>
      <c r="G127" s="84">
        <v>30000000</v>
      </c>
      <c r="H127" s="84">
        <v>0</v>
      </c>
      <c r="I127" s="84">
        <v>0</v>
      </c>
      <c r="J127" s="84">
        <v>0</v>
      </c>
      <c r="K127" s="84">
        <v>19000000</v>
      </c>
    </row>
    <row r="128" spans="1:11" x14ac:dyDescent="0.65">
      <c r="A128" s="82">
        <v>6075</v>
      </c>
      <c r="B128" s="83" t="s">
        <v>187</v>
      </c>
      <c r="C128" s="83">
        <f>VLOOKUP(A128,دی!A:C,3,0)</f>
        <v>415</v>
      </c>
      <c r="D128" s="83">
        <v>1404</v>
      </c>
      <c r="E128" s="83">
        <v>11</v>
      </c>
      <c r="F128" s="84">
        <v>0</v>
      </c>
      <c r="G128" s="84">
        <v>47718500</v>
      </c>
      <c r="H128" s="84">
        <v>0</v>
      </c>
      <c r="I128" s="84">
        <v>0</v>
      </c>
      <c r="J128" s="84">
        <v>0</v>
      </c>
      <c r="K128" s="84">
        <v>1500000</v>
      </c>
    </row>
    <row r="129" spans="1:11" x14ac:dyDescent="0.65">
      <c r="A129" s="82">
        <v>6079</v>
      </c>
      <c r="B129" s="83" t="s">
        <v>189</v>
      </c>
      <c r="C129" s="83">
        <f>VLOOKUP(A129,دی!A:C,3,0)</f>
        <v>433</v>
      </c>
      <c r="D129" s="83">
        <v>1404</v>
      </c>
      <c r="E129" s="83">
        <v>11</v>
      </c>
      <c r="F129" s="84">
        <v>29850000</v>
      </c>
      <c r="G129" s="84">
        <v>15000000</v>
      </c>
      <c r="H129" s="84">
        <v>0</v>
      </c>
      <c r="I129" s="84">
        <v>0</v>
      </c>
      <c r="J129" s="84">
        <v>0</v>
      </c>
      <c r="K129" s="84">
        <v>0</v>
      </c>
    </row>
    <row r="130" spans="1:11" x14ac:dyDescent="0.65">
      <c r="A130" s="82">
        <v>6084</v>
      </c>
      <c r="B130" s="83" t="s">
        <v>190</v>
      </c>
      <c r="C130" s="83">
        <f>VLOOKUP(A130,دی!A:C,3,0)</f>
        <v>416</v>
      </c>
      <c r="D130" s="83">
        <v>1404</v>
      </c>
      <c r="E130" s="83">
        <v>11</v>
      </c>
      <c r="F130" s="84">
        <v>19900000</v>
      </c>
      <c r="G130" s="84">
        <v>0</v>
      </c>
      <c r="H130" s="84">
        <v>0</v>
      </c>
      <c r="I130" s="84">
        <v>0</v>
      </c>
      <c r="J130" s="84">
        <v>0</v>
      </c>
      <c r="K130" s="84">
        <v>3000000</v>
      </c>
    </row>
    <row r="131" spans="1:11" x14ac:dyDescent="0.65">
      <c r="A131" s="82">
        <v>6087</v>
      </c>
      <c r="B131" s="83" t="s">
        <v>191</v>
      </c>
      <c r="C131" s="83">
        <f>VLOOKUP(A131,دی!A:C,3,0)</f>
        <v>443</v>
      </c>
      <c r="D131" s="83">
        <v>1404</v>
      </c>
      <c r="E131" s="83">
        <v>11</v>
      </c>
      <c r="F131" s="84">
        <v>29850000</v>
      </c>
      <c r="G131" s="84">
        <v>80000000</v>
      </c>
      <c r="H131" s="84">
        <v>0</v>
      </c>
      <c r="I131" s="84">
        <v>0</v>
      </c>
      <c r="J131" s="84">
        <v>0</v>
      </c>
      <c r="K131" s="84">
        <v>5600000</v>
      </c>
    </row>
    <row r="132" spans="1:11" x14ac:dyDescent="0.65">
      <c r="A132" s="82">
        <v>6089</v>
      </c>
      <c r="B132" s="83" t="s">
        <v>193</v>
      </c>
      <c r="C132" s="83">
        <f>VLOOKUP(A132,دی!A:C,3,0)</f>
        <v>440</v>
      </c>
      <c r="D132" s="83">
        <v>1404</v>
      </c>
      <c r="E132" s="83">
        <v>11</v>
      </c>
      <c r="F132" s="84">
        <v>49750000</v>
      </c>
      <c r="G132" s="84">
        <v>30000000</v>
      </c>
      <c r="H132" s="84">
        <v>724350</v>
      </c>
      <c r="I132" s="84">
        <v>0</v>
      </c>
      <c r="J132" s="84">
        <v>0</v>
      </c>
      <c r="K132" s="84">
        <v>7100000</v>
      </c>
    </row>
    <row r="133" spans="1:11" x14ac:dyDescent="0.65">
      <c r="A133" s="82">
        <v>6092</v>
      </c>
      <c r="B133" s="83" t="s">
        <v>194</v>
      </c>
      <c r="C133" s="83">
        <f>VLOOKUP(A133,دی!A:C,3,0)</f>
        <v>445</v>
      </c>
      <c r="D133" s="83">
        <v>1404</v>
      </c>
      <c r="E133" s="83">
        <v>11</v>
      </c>
      <c r="F133" s="84">
        <v>9950000</v>
      </c>
      <c r="G133" s="84">
        <v>0</v>
      </c>
      <c r="H133" s="84">
        <v>0</v>
      </c>
      <c r="I133" s="84">
        <v>0</v>
      </c>
      <c r="J133" s="84">
        <v>0</v>
      </c>
      <c r="K133" s="84">
        <v>6700000</v>
      </c>
    </row>
    <row r="134" spans="1:11" x14ac:dyDescent="0.65">
      <c r="A134" s="82">
        <v>6093</v>
      </c>
      <c r="B134" s="83" t="s">
        <v>195</v>
      </c>
      <c r="C134" s="83">
        <f>VLOOKUP(A134,دی!A:C,3,0)</f>
        <v>447</v>
      </c>
      <c r="D134" s="83">
        <v>1404</v>
      </c>
      <c r="E134" s="83">
        <v>11</v>
      </c>
      <c r="F134" s="84">
        <v>39800000</v>
      </c>
      <c r="G134" s="84">
        <v>77717000</v>
      </c>
      <c r="H134" s="84">
        <v>0</v>
      </c>
      <c r="I134" s="84">
        <v>0</v>
      </c>
      <c r="J134" s="84">
        <v>0</v>
      </c>
      <c r="K134" s="84">
        <v>4200000</v>
      </c>
    </row>
    <row r="135" spans="1:11" x14ac:dyDescent="0.65">
      <c r="A135" s="82">
        <v>6094</v>
      </c>
      <c r="B135" s="83" t="s">
        <v>196</v>
      </c>
      <c r="C135" s="83">
        <f>VLOOKUP(A135,دی!A:C,3,0)</f>
        <v>448</v>
      </c>
      <c r="D135" s="83">
        <v>1404</v>
      </c>
      <c r="E135" s="83">
        <v>11</v>
      </c>
      <c r="F135" s="84">
        <v>49750000</v>
      </c>
      <c r="G135" s="84">
        <v>30000000</v>
      </c>
      <c r="H135" s="84">
        <v>0</v>
      </c>
      <c r="I135" s="84">
        <v>0</v>
      </c>
      <c r="J135" s="84">
        <v>0</v>
      </c>
      <c r="K135" s="84">
        <v>4600000</v>
      </c>
    </row>
    <row r="136" spans="1:11" x14ac:dyDescent="0.65">
      <c r="A136" s="82">
        <v>6099</v>
      </c>
      <c r="B136" s="83" t="s">
        <v>199</v>
      </c>
      <c r="C136" s="83">
        <f>VLOOKUP(A136,دی!A:C,3,0)</f>
        <v>468</v>
      </c>
      <c r="D136" s="83">
        <v>1404</v>
      </c>
      <c r="E136" s="83">
        <v>11</v>
      </c>
      <c r="F136" s="84">
        <v>79600000</v>
      </c>
      <c r="G136" s="84">
        <v>0</v>
      </c>
      <c r="H136" s="84">
        <v>0</v>
      </c>
      <c r="I136" s="84">
        <v>0</v>
      </c>
      <c r="J136" s="84">
        <v>0</v>
      </c>
      <c r="K136" s="84">
        <v>8900000</v>
      </c>
    </row>
    <row r="137" spans="1:11" x14ac:dyDescent="0.65">
      <c r="A137" s="82">
        <v>6100</v>
      </c>
      <c r="B137" s="83" t="s">
        <v>235</v>
      </c>
      <c r="C137" s="83">
        <f>VLOOKUP(A137,دی!A:C,3,0)</f>
        <v>460</v>
      </c>
      <c r="D137" s="83">
        <v>1404</v>
      </c>
      <c r="E137" s="83">
        <v>11</v>
      </c>
      <c r="F137" s="84">
        <v>0</v>
      </c>
      <c r="G137" s="84">
        <v>30000000</v>
      </c>
      <c r="H137" s="84">
        <v>0</v>
      </c>
      <c r="I137" s="84">
        <v>0</v>
      </c>
      <c r="J137" s="84">
        <v>0</v>
      </c>
      <c r="K137" s="84">
        <v>10500000</v>
      </c>
    </row>
    <row r="138" spans="1:11" x14ac:dyDescent="0.65">
      <c r="A138" s="82">
        <v>6102</v>
      </c>
      <c r="B138" s="83" t="s">
        <v>200</v>
      </c>
      <c r="C138" s="83">
        <f>VLOOKUP(A138,دی!A:C,3,0)</f>
        <v>459</v>
      </c>
      <c r="D138" s="83">
        <v>1404</v>
      </c>
      <c r="E138" s="83">
        <v>11</v>
      </c>
      <c r="F138" s="84">
        <v>19900000</v>
      </c>
      <c r="G138" s="84">
        <v>30000000</v>
      </c>
      <c r="H138" s="84">
        <v>0</v>
      </c>
      <c r="I138" s="84">
        <v>0</v>
      </c>
      <c r="J138" s="84">
        <v>0</v>
      </c>
      <c r="K138" s="84">
        <v>10500000</v>
      </c>
    </row>
    <row r="139" spans="1:11" x14ac:dyDescent="0.65">
      <c r="A139" s="82">
        <v>6103</v>
      </c>
      <c r="B139" s="83" t="s">
        <v>201</v>
      </c>
      <c r="C139" s="83">
        <f>VLOOKUP(A139,دی!A:C,3,0)</f>
        <v>469</v>
      </c>
      <c r="D139" s="83">
        <v>1404</v>
      </c>
      <c r="E139" s="83">
        <v>11</v>
      </c>
      <c r="F139" s="84">
        <v>29850000</v>
      </c>
      <c r="G139" s="84">
        <v>0</v>
      </c>
      <c r="H139" s="84">
        <v>0</v>
      </c>
      <c r="I139" s="84">
        <v>0</v>
      </c>
      <c r="J139" s="84">
        <v>0</v>
      </c>
      <c r="K139" s="84">
        <v>2400000</v>
      </c>
    </row>
    <row r="140" spans="1:11" x14ac:dyDescent="0.65">
      <c r="A140" s="82">
        <v>6104</v>
      </c>
      <c r="B140" s="83" t="s">
        <v>202</v>
      </c>
      <c r="C140" s="83">
        <f>VLOOKUP(A140,دی!A:C,3,0)</f>
        <v>465</v>
      </c>
      <c r="D140" s="83">
        <v>1404</v>
      </c>
      <c r="E140" s="83">
        <v>11</v>
      </c>
      <c r="F140" s="84">
        <v>9950000</v>
      </c>
      <c r="G140" s="84">
        <v>0</v>
      </c>
      <c r="H140" s="84">
        <v>0</v>
      </c>
      <c r="I140" s="84">
        <v>0</v>
      </c>
      <c r="J140" s="84">
        <v>0</v>
      </c>
      <c r="K140" s="84">
        <v>13000000</v>
      </c>
    </row>
    <row r="141" spans="1:11" x14ac:dyDescent="0.65">
      <c r="A141" s="82">
        <v>6105</v>
      </c>
      <c r="B141" s="83" t="s">
        <v>245</v>
      </c>
      <c r="C141" s="83">
        <f>VLOOKUP(A141,دی!A:C,3,0)</f>
        <v>461</v>
      </c>
      <c r="D141" s="83">
        <v>1404</v>
      </c>
      <c r="E141" s="83">
        <v>11</v>
      </c>
      <c r="F141" s="84">
        <v>9950000</v>
      </c>
      <c r="G141" s="84">
        <v>0</v>
      </c>
      <c r="H141" s="84">
        <v>0</v>
      </c>
      <c r="I141" s="84">
        <v>0</v>
      </c>
      <c r="J141" s="84">
        <v>0</v>
      </c>
      <c r="K141" s="84">
        <v>5400000</v>
      </c>
    </row>
    <row r="142" spans="1:11" x14ac:dyDescent="0.65">
      <c r="A142" s="82">
        <v>6107</v>
      </c>
      <c r="B142" s="83" t="s">
        <v>267</v>
      </c>
      <c r="C142" s="83">
        <f>VLOOKUP(A142,دی!A:C,3,0)</f>
        <v>470</v>
      </c>
      <c r="D142" s="83">
        <v>1404</v>
      </c>
      <c r="E142" s="83">
        <v>11</v>
      </c>
      <c r="F142" s="84">
        <v>9950000</v>
      </c>
      <c r="G142" s="84">
        <v>0</v>
      </c>
      <c r="H142" s="84">
        <v>0</v>
      </c>
      <c r="I142" s="84">
        <v>0</v>
      </c>
      <c r="J142" s="84">
        <v>0</v>
      </c>
      <c r="K142" s="84">
        <v>0</v>
      </c>
    </row>
    <row r="143" spans="1:11" x14ac:dyDescent="0.65">
      <c r="A143" s="82">
        <v>6110</v>
      </c>
      <c r="B143" s="83" t="s">
        <v>203</v>
      </c>
      <c r="C143" s="83">
        <f>VLOOKUP(A143,دی!A:C,3,0)</f>
        <v>476</v>
      </c>
      <c r="D143" s="83">
        <v>1404</v>
      </c>
      <c r="E143" s="83">
        <v>11</v>
      </c>
      <c r="F143" s="84">
        <v>9950000</v>
      </c>
      <c r="G143" s="84">
        <v>3000000</v>
      </c>
      <c r="H143" s="84">
        <v>0</v>
      </c>
      <c r="I143" s="84">
        <v>0</v>
      </c>
      <c r="J143" s="84">
        <v>0</v>
      </c>
      <c r="K143" s="84">
        <v>6300000</v>
      </c>
    </row>
    <row r="144" spans="1:11" x14ac:dyDescent="0.65">
      <c r="A144" s="82">
        <v>6112</v>
      </c>
      <c r="B144" s="83" t="s">
        <v>239</v>
      </c>
      <c r="C144" s="83">
        <f>VLOOKUP(A144,دی!A:C,3,0)</f>
        <v>456</v>
      </c>
      <c r="D144" s="83">
        <v>1404</v>
      </c>
      <c r="E144" s="83">
        <v>11</v>
      </c>
      <c r="F144" s="84">
        <v>9950000</v>
      </c>
      <c r="G144" s="84">
        <v>30000000</v>
      </c>
      <c r="H144" s="84">
        <v>0</v>
      </c>
      <c r="I144" s="84">
        <v>0</v>
      </c>
      <c r="J144" s="84">
        <v>0</v>
      </c>
      <c r="K144" s="84">
        <v>1500000</v>
      </c>
    </row>
    <row r="145" spans="1:11" x14ac:dyDescent="0.65">
      <c r="A145" s="82">
        <v>6113</v>
      </c>
      <c r="B145" s="83" t="s">
        <v>240</v>
      </c>
      <c r="C145" s="83">
        <f>VLOOKUP(A145,دی!A:C,3,0)</f>
        <v>488</v>
      </c>
      <c r="D145" s="83">
        <v>1404</v>
      </c>
      <c r="E145" s="83">
        <v>11</v>
      </c>
      <c r="F145" s="84">
        <v>19900000</v>
      </c>
      <c r="G145" s="84">
        <v>0</v>
      </c>
      <c r="H145" s="84">
        <v>0</v>
      </c>
      <c r="I145" s="84">
        <v>0</v>
      </c>
      <c r="J145" s="84">
        <v>0</v>
      </c>
      <c r="K145" s="84">
        <v>10500000</v>
      </c>
    </row>
    <row r="146" spans="1:11" x14ac:dyDescent="0.65">
      <c r="A146" s="82">
        <v>6114</v>
      </c>
      <c r="B146" s="83" t="s">
        <v>241</v>
      </c>
      <c r="C146" s="83">
        <f>VLOOKUP(A146,دی!A:C,3,0)</f>
        <v>467</v>
      </c>
      <c r="D146" s="83">
        <v>1404</v>
      </c>
      <c r="E146" s="83">
        <v>11</v>
      </c>
      <c r="F146" s="84">
        <v>29850000</v>
      </c>
      <c r="G146" s="84">
        <v>0</v>
      </c>
      <c r="H146" s="84">
        <v>0</v>
      </c>
      <c r="I146" s="84">
        <v>0</v>
      </c>
      <c r="J146" s="84">
        <v>0</v>
      </c>
      <c r="K146" s="84">
        <v>2000000</v>
      </c>
    </row>
    <row r="147" spans="1:11" x14ac:dyDescent="0.65">
      <c r="A147" s="82">
        <v>6116</v>
      </c>
      <c r="B147" s="83" t="s">
        <v>242</v>
      </c>
      <c r="C147" s="83">
        <f>VLOOKUP(A147,دی!A:C,3,0)</f>
        <v>485</v>
      </c>
      <c r="D147" s="83">
        <v>1404</v>
      </c>
      <c r="E147" s="83">
        <v>11</v>
      </c>
      <c r="F147" s="84">
        <v>29850000</v>
      </c>
      <c r="G147" s="84">
        <v>30000000</v>
      </c>
      <c r="H147" s="84">
        <v>0</v>
      </c>
      <c r="I147" s="84">
        <v>0</v>
      </c>
      <c r="J147" s="84">
        <v>0</v>
      </c>
      <c r="K147" s="84">
        <v>3300000</v>
      </c>
    </row>
    <row r="148" spans="1:11" x14ac:dyDescent="0.65">
      <c r="A148" s="82">
        <v>6117</v>
      </c>
      <c r="B148" s="83" t="s">
        <v>307</v>
      </c>
      <c r="C148" s="83">
        <f>VLOOKUP(A148,دی!A:C,3,0)</f>
        <v>480</v>
      </c>
      <c r="D148" s="83">
        <v>1404</v>
      </c>
      <c r="E148" s="83">
        <v>11</v>
      </c>
      <c r="F148" s="84">
        <v>29850000</v>
      </c>
      <c r="G148" s="84">
        <v>30000000</v>
      </c>
      <c r="H148" s="84">
        <v>0</v>
      </c>
      <c r="I148" s="84">
        <v>0</v>
      </c>
      <c r="J148" s="84">
        <v>0</v>
      </c>
      <c r="K148" s="84">
        <v>12100000</v>
      </c>
    </row>
    <row r="149" spans="1:11" x14ac:dyDescent="0.65">
      <c r="A149" s="82">
        <v>6118</v>
      </c>
      <c r="B149" s="83" t="s">
        <v>286</v>
      </c>
      <c r="C149" s="83">
        <f>VLOOKUP(A149,دی!A:C,3,0)</f>
        <v>489</v>
      </c>
      <c r="D149" s="83">
        <v>1404</v>
      </c>
      <c r="E149" s="83">
        <v>11</v>
      </c>
      <c r="F149" s="84">
        <v>0</v>
      </c>
      <c r="G149" s="84">
        <v>69427333</v>
      </c>
      <c r="H149" s="84">
        <v>0</v>
      </c>
      <c r="I149" s="84">
        <v>0</v>
      </c>
      <c r="J149" s="84">
        <v>0</v>
      </c>
      <c r="K149" s="84">
        <v>0</v>
      </c>
    </row>
    <row r="150" spans="1:11" x14ac:dyDescent="0.65">
      <c r="A150" s="82">
        <v>6120</v>
      </c>
      <c r="B150" s="83" t="s">
        <v>287</v>
      </c>
      <c r="C150" s="83">
        <f>VLOOKUP(A150,دی!A:C,3,0)</f>
        <v>486</v>
      </c>
      <c r="D150" s="83">
        <v>1404</v>
      </c>
      <c r="E150" s="83">
        <v>11</v>
      </c>
      <c r="F150" s="84">
        <v>0</v>
      </c>
      <c r="G150" s="84">
        <v>30000000</v>
      </c>
      <c r="H150" s="84">
        <v>0</v>
      </c>
      <c r="I150" s="84">
        <v>0</v>
      </c>
      <c r="J150" s="84">
        <v>0</v>
      </c>
      <c r="K150" s="84">
        <v>12100000</v>
      </c>
    </row>
    <row r="151" spans="1:11" x14ac:dyDescent="0.65">
      <c r="A151" s="82">
        <v>6122</v>
      </c>
      <c r="B151" s="83" t="s">
        <v>271</v>
      </c>
      <c r="C151" s="83">
        <f>VLOOKUP(A151,دی!A:C,3,0)</f>
        <v>487</v>
      </c>
      <c r="D151" s="83">
        <v>1404</v>
      </c>
      <c r="E151" s="83">
        <v>11</v>
      </c>
      <c r="F151" s="84">
        <v>19900000</v>
      </c>
      <c r="G151" s="84">
        <v>0</v>
      </c>
      <c r="H151" s="84">
        <v>0</v>
      </c>
      <c r="I151" s="84">
        <v>0</v>
      </c>
      <c r="J151" s="84">
        <v>0</v>
      </c>
      <c r="K151" s="84">
        <v>8200000</v>
      </c>
    </row>
    <row r="152" spans="1:11" x14ac:dyDescent="0.65">
      <c r="A152" s="82">
        <v>6123</v>
      </c>
      <c r="B152" s="83" t="s">
        <v>264</v>
      </c>
      <c r="C152" s="83">
        <f>VLOOKUP(A152,دی!A:C,3,0)</f>
        <v>484</v>
      </c>
      <c r="D152" s="83">
        <v>1404</v>
      </c>
      <c r="E152" s="83">
        <v>11</v>
      </c>
      <c r="F152" s="84">
        <v>19900000</v>
      </c>
      <c r="G152" s="84">
        <v>0</v>
      </c>
      <c r="H152" s="84">
        <v>0</v>
      </c>
      <c r="I152" s="84">
        <v>0</v>
      </c>
      <c r="J152" s="84">
        <v>0</v>
      </c>
      <c r="K152" s="84">
        <v>15600000</v>
      </c>
    </row>
    <row r="153" spans="1:11" x14ac:dyDescent="0.65">
      <c r="A153" s="82">
        <v>6124</v>
      </c>
      <c r="B153" s="83" t="s">
        <v>288</v>
      </c>
      <c r="C153" s="83">
        <f>VLOOKUP(A153,دی!A:C,3,0)</f>
        <v>455</v>
      </c>
      <c r="D153" s="83">
        <v>1404</v>
      </c>
      <c r="E153" s="83">
        <v>11</v>
      </c>
      <c r="F153" s="84">
        <v>0</v>
      </c>
      <c r="G153" s="84">
        <v>30000000</v>
      </c>
      <c r="H153" s="84">
        <v>0</v>
      </c>
      <c r="I153" s="84">
        <v>0</v>
      </c>
      <c r="J153" s="84">
        <v>0</v>
      </c>
      <c r="K153" s="84">
        <v>23200000</v>
      </c>
    </row>
    <row r="154" spans="1:11" x14ac:dyDescent="0.65">
      <c r="A154" s="82">
        <v>6125</v>
      </c>
      <c r="B154" s="83" t="s">
        <v>272</v>
      </c>
      <c r="C154" s="83">
        <f>VLOOKUP(A154,دی!A:C,3,0)</f>
        <v>457</v>
      </c>
      <c r="D154" s="83">
        <v>1404</v>
      </c>
      <c r="E154" s="83">
        <v>11</v>
      </c>
      <c r="F154" s="84">
        <v>9950000</v>
      </c>
      <c r="G154" s="84">
        <v>30000000</v>
      </c>
      <c r="H154" s="84">
        <v>0</v>
      </c>
      <c r="I154" s="84">
        <v>0</v>
      </c>
      <c r="J154" s="84">
        <v>0</v>
      </c>
      <c r="K154" s="84">
        <v>15600000</v>
      </c>
    </row>
    <row r="155" spans="1:11" x14ac:dyDescent="0.65">
      <c r="A155" s="82">
        <v>6132</v>
      </c>
      <c r="B155" s="83" t="s">
        <v>290</v>
      </c>
      <c r="C155" s="83">
        <f>VLOOKUP(A155,دی!A:C,3,0)</f>
        <v>502</v>
      </c>
      <c r="D155" s="83">
        <v>1404</v>
      </c>
      <c r="E155" s="83">
        <v>11</v>
      </c>
      <c r="F155" s="84">
        <v>0</v>
      </c>
      <c r="G155" s="84">
        <v>35211666</v>
      </c>
      <c r="H155" s="84">
        <v>0</v>
      </c>
      <c r="I155" s="84">
        <v>0</v>
      </c>
      <c r="J155" s="84">
        <v>0</v>
      </c>
      <c r="K155" s="84">
        <v>5400000</v>
      </c>
    </row>
    <row r="156" spans="1:11" x14ac:dyDescent="0.65">
      <c r="A156" s="82">
        <v>6133</v>
      </c>
      <c r="B156" s="83" t="s">
        <v>265</v>
      </c>
      <c r="C156" s="83">
        <f>VLOOKUP(A156,دی!A:C,3,0)</f>
        <v>501</v>
      </c>
      <c r="D156" s="83">
        <v>1404</v>
      </c>
      <c r="E156" s="83">
        <v>11</v>
      </c>
      <c r="F156" s="84">
        <v>49750000</v>
      </c>
      <c r="G156" s="84">
        <v>273000000</v>
      </c>
      <c r="H156" s="84">
        <v>0</v>
      </c>
      <c r="I156" s="84">
        <v>135003398</v>
      </c>
      <c r="J156" s="84">
        <v>0</v>
      </c>
      <c r="K156" s="84">
        <v>5100000</v>
      </c>
    </row>
    <row r="157" spans="1:11" x14ac:dyDescent="0.65">
      <c r="A157" s="82">
        <v>6136</v>
      </c>
      <c r="B157" s="83" t="s">
        <v>266</v>
      </c>
      <c r="C157" s="83">
        <f>VLOOKUP(A157,دی!A:C,3,0)</f>
        <v>506</v>
      </c>
      <c r="D157" s="83">
        <v>1404</v>
      </c>
      <c r="E157" s="83">
        <v>11</v>
      </c>
      <c r="F157" s="84">
        <v>29850000</v>
      </c>
      <c r="G157" s="84">
        <v>30000000</v>
      </c>
      <c r="H157" s="84">
        <v>0</v>
      </c>
      <c r="I157" s="84">
        <v>0</v>
      </c>
      <c r="J157" s="84">
        <v>0</v>
      </c>
      <c r="K157" s="84">
        <v>8800000</v>
      </c>
    </row>
    <row r="158" spans="1:11" x14ac:dyDescent="0.65">
      <c r="A158" s="82">
        <v>6137</v>
      </c>
      <c r="B158" s="83" t="s">
        <v>291</v>
      </c>
      <c r="C158" s="83">
        <f>VLOOKUP(A158,دی!A:C,3,0)</f>
        <v>503</v>
      </c>
      <c r="D158" s="83">
        <v>1404</v>
      </c>
      <c r="E158" s="83">
        <v>11</v>
      </c>
      <c r="F158" s="84">
        <v>9950000</v>
      </c>
      <c r="G158" s="84">
        <v>30000000</v>
      </c>
      <c r="H158" s="84">
        <v>0</v>
      </c>
      <c r="I158" s="84">
        <v>0</v>
      </c>
      <c r="J158" s="84">
        <v>0</v>
      </c>
      <c r="K158" s="84">
        <v>0</v>
      </c>
    </row>
    <row r="159" spans="1:11" x14ac:dyDescent="0.65">
      <c r="A159" s="82">
        <v>6139</v>
      </c>
      <c r="B159" s="83" t="s">
        <v>273</v>
      </c>
      <c r="C159" s="83">
        <f>VLOOKUP(A159,دی!A:C,3,0)</f>
        <v>505</v>
      </c>
      <c r="D159" s="83">
        <v>1404</v>
      </c>
      <c r="E159" s="83">
        <v>11</v>
      </c>
      <c r="F159" s="84">
        <v>19900000</v>
      </c>
      <c r="G159" s="84">
        <v>0</v>
      </c>
      <c r="H159" s="84">
        <v>0</v>
      </c>
      <c r="I159" s="84">
        <v>0</v>
      </c>
      <c r="J159" s="84">
        <v>0</v>
      </c>
      <c r="K159" s="84">
        <v>6700000</v>
      </c>
    </row>
    <row r="160" spans="1:11" x14ac:dyDescent="0.65">
      <c r="A160" s="82">
        <v>6143</v>
      </c>
      <c r="B160" s="83" t="s">
        <v>274</v>
      </c>
      <c r="C160" s="83">
        <f>VLOOKUP(A160,دی!A:C,3,0)</f>
        <v>508</v>
      </c>
      <c r="D160" s="83">
        <v>1404</v>
      </c>
      <c r="E160" s="83">
        <v>11</v>
      </c>
      <c r="F160" s="84">
        <v>19900000</v>
      </c>
      <c r="G160" s="84">
        <v>30000000</v>
      </c>
      <c r="H160" s="84">
        <v>0</v>
      </c>
      <c r="I160" s="84">
        <v>0</v>
      </c>
      <c r="J160" s="84">
        <v>0</v>
      </c>
      <c r="K160" s="84">
        <v>8800000</v>
      </c>
    </row>
    <row r="161" spans="1:11" x14ac:dyDescent="0.65">
      <c r="A161" s="82">
        <v>6144</v>
      </c>
      <c r="B161" s="83" t="s">
        <v>275</v>
      </c>
      <c r="C161" s="83">
        <f>VLOOKUP(A161,دی!A:C,3,0)</f>
        <v>517</v>
      </c>
      <c r="D161" s="83">
        <v>1404</v>
      </c>
      <c r="E161" s="83">
        <v>11</v>
      </c>
      <c r="F161" s="84">
        <v>19900000</v>
      </c>
      <c r="G161" s="84">
        <v>0</v>
      </c>
      <c r="H161" s="84">
        <v>0</v>
      </c>
      <c r="I161" s="84">
        <v>0</v>
      </c>
      <c r="J161" s="84">
        <v>0</v>
      </c>
      <c r="K161" s="84">
        <v>8800000</v>
      </c>
    </row>
    <row r="162" spans="1:11" x14ac:dyDescent="0.65">
      <c r="A162" s="82">
        <v>6145</v>
      </c>
      <c r="B162" s="83" t="s">
        <v>276</v>
      </c>
      <c r="C162" s="83">
        <f>VLOOKUP(A162,دی!A:C,3,0)</f>
        <v>496</v>
      </c>
      <c r="D162" s="83">
        <v>1404</v>
      </c>
      <c r="E162" s="83">
        <v>11</v>
      </c>
      <c r="F162" s="84">
        <v>19900000</v>
      </c>
      <c r="G162" s="84">
        <v>0</v>
      </c>
      <c r="H162" s="84">
        <v>0</v>
      </c>
      <c r="I162" s="84">
        <v>0</v>
      </c>
      <c r="J162" s="84">
        <v>0</v>
      </c>
      <c r="K162" s="84">
        <v>600000</v>
      </c>
    </row>
    <row r="163" spans="1:11" x14ac:dyDescent="0.65">
      <c r="A163" s="82">
        <v>6148</v>
      </c>
      <c r="B163" s="83" t="s">
        <v>277</v>
      </c>
      <c r="C163" s="83">
        <f>VLOOKUP(A163,دی!A:C,3,0)</f>
        <v>520</v>
      </c>
      <c r="D163" s="83">
        <v>1404</v>
      </c>
      <c r="E163" s="83">
        <v>11</v>
      </c>
      <c r="F163" s="84">
        <v>29850000</v>
      </c>
      <c r="G163" s="84">
        <v>0</v>
      </c>
      <c r="H163" s="84">
        <v>0</v>
      </c>
      <c r="I163" s="84">
        <v>0</v>
      </c>
      <c r="J163" s="84">
        <v>0</v>
      </c>
      <c r="K163" s="84">
        <v>0</v>
      </c>
    </row>
    <row r="164" spans="1:11" x14ac:dyDescent="0.65">
      <c r="A164" s="82">
        <v>6149</v>
      </c>
      <c r="B164" s="83" t="s">
        <v>278</v>
      </c>
      <c r="C164" s="83">
        <f>VLOOKUP(A164,دی!A:C,3,0)</f>
        <v>512</v>
      </c>
      <c r="D164" s="83">
        <v>1404</v>
      </c>
      <c r="E164" s="83">
        <v>11</v>
      </c>
      <c r="F164" s="84">
        <v>9950000</v>
      </c>
      <c r="G164" s="84">
        <v>170000000</v>
      </c>
      <c r="H164" s="84">
        <v>0</v>
      </c>
      <c r="I164" s="84">
        <v>62574063</v>
      </c>
      <c r="J164" s="84">
        <v>0</v>
      </c>
      <c r="K164" s="84">
        <v>5100000</v>
      </c>
    </row>
    <row r="165" spans="1:11" x14ac:dyDescent="0.65">
      <c r="A165" s="82">
        <v>6150</v>
      </c>
      <c r="B165" s="83" t="s">
        <v>279</v>
      </c>
      <c r="C165" s="83">
        <f>VLOOKUP(A165,دی!A:C,3,0)</f>
        <v>518</v>
      </c>
      <c r="D165" s="83">
        <v>1404</v>
      </c>
      <c r="E165" s="83">
        <v>11</v>
      </c>
      <c r="F165" s="84">
        <v>9950000</v>
      </c>
      <c r="G165" s="84">
        <v>40000000</v>
      </c>
      <c r="H165" s="84">
        <v>0</v>
      </c>
      <c r="I165" s="84">
        <v>0</v>
      </c>
      <c r="J165" s="84">
        <v>0</v>
      </c>
      <c r="K165" s="84">
        <v>4700000</v>
      </c>
    </row>
    <row r="166" spans="1:11" x14ac:dyDescent="0.65">
      <c r="A166" s="82">
        <v>6152</v>
      </c>
      <c r="B166" s="83" t="s">
        <v>292</v>
      </c>
      <c r="C166" s="83">
        <f>VLOOKUP(A166,دی!A:C,3,0)</f>
        <v>519</v>
      </c>
      <c r="D166" s="83">
        <v>1404</v>
      </c>
      <c r="E166" s="83">
        <v>11</v>
      </c>
      <c r="F166" s="84">
        <v>0</v>
      </c>
      <c r="G166" s="84">
        <v>110000000</v>
      </c>
      <c r="H166" s="84">
        <v>0</v>
      </c>
      <c r="I166" s="84">
        <v>0</v>
      </c>
      <c r="J166" s="84">
        <v>0</v>
      </c>
      <c r="K166" s="84">
        <v>14500000</v>
      </c>
    </row>
    <row r="167" spans="1:11" x14ac:dyDescent="0.65">
      <c r="A167" s="82">
        <v>6153</v>
      </c>
      <c r="B167" s="83" t="s">
        <v>302</v>
      </c>
      <c r="C167" s="83">
        <f>VLOOKUP(A167,دی!A:C,3,0)</f>
        <v>529</v>
      </c>
      <c r="D167" s="83">
        <v>1404</v>
      </c>
      <c r="E167" s="83">
        <v>11</v>
      </c>
      <c r="F167" s="84">
        <v>0</v>
      </c>
      <c r="G167" s="84">
        <v>40000000</v>
      </c>
      <c r="H167" s="84">
        <v>0</v>
      </c>
      <c r="I167" s="84">
        <v>0</v>
      </c>
      <c r="J167" s="84">
        <v>0</v>
      </c>
      <c r="K167" s="84">
        <v>3300000</v>
      </c>
    </row>
    <row r="168" spans="1:11" x14ac:dyDescent="0.65">
      <c r="A168" s="82">
        <v>6154</v>
      </c>
      <c r="B168" s="83" t="s">
        <v>280</v>
      </c>
      <c r="C168" s="83">
        <f>VLOOKUP(A168,دی!A:C,3,0)</f>
        <v>515</v>
      </c>
      <c r="D168" s="83">
        <v>1404</v>
      </c>
      <c r="E168" s="83">
        <v>11</v>
      </c>
      <c r="F168" s="84">
        <v>39800000</v>
      </c>
      <c r="G168" s="84">
        <v>0</v>
      </c>
      <c r="H168" s="84">
        <v>0</v>
      </c>
      <c r="I168" s="84">
        <v>0</v>
      </c>
      <c r="J168" s="84">
        <v>0</v>
      </c>
      <c r="K168" s="84">
        <v>4800000</v>
      </c>
    </row>
    <row r="169" spans="1:11" x14ac:dyDescent="0.65">
      <c r="A169" s="82">
        <v>6155</v>
      </c>
      <c r="B169" s="83" t="s">
        <v>281</v>
      </c>
      <c r="C169" s="83">
        <f>VLOOKUP(A169,دی!A:C,3,0)</f>
        <v>516</v>
      </c>
      <c r="D169" s="83">
        <v>1404</v>
      </c>
      <c r="E169" s="83">
        <v>11</v>
      </c>
      <c r="F169" s="84">
        <v>19900000</v>
      </c>
      <c r="G169" s="84">
        <v>0</v>
      </c>
      <c r="H169" s="84">
        <v>0</v>
      </c>
      <c r="I169" s="84">
        <v>0</v>
      </c>
      <c r="J169" s="84">
        <v>0</v>
      </c>
      <c r="K169" s="84">
        <v>10500000</v>
      </c>
    </row>
    <row r="170" spans="1:11" x14ac:dyDescent="0.65">
      <c r="A170" s="82">
        <v>6160</v>
      </c>
      <c r="B170" s="83" t="s">
        <v>294</v>
      </c>
      <c r="C170" s="83">
        <f>VLOOKUP(A170,دی!A:C,3,0)</f>
        <v>533</v>
      </c>
      <c r="D170" s="83">
        <v>1404</v>
      </c>
      <c r="E170" s="83">
        <v>11</v>
      </c>
      <c r="F170" s="84">
        <v>19900000</v>
      </c>
      <c r="G170" s="84">
        <v>0</v>
      </c>
      <c r="H170" s="84">
        <v>0</v>
      </c>
      <c r="I170" s="84">
        <v>0</v>
      </c>
      <c r="J170" s="84">
        <v>0</v>
      </c>
      <c r="K170" s="84">
        <v>0</v>
      </c>
    </row>
    <row r="171" spans="1:11" x14ac:dyDescent="0.65">
      <c r="A171" s="82">
        <v>6166</v>
      </c>
      <c r="B171" s="83" t="s">
        <v>295</v>
      </c>
      <c r="C171" s="83">
        <f>VLOOKUP(A171,دی!A:C,3,0)</f>
        <v>521</v>
      </c>
      <c r="D171" s="83">
        <v>1404</v>
      </c>
      <c r="E171" s="83">
        <v>11</v>
      </c>
      <c r="F171" s="84">
        <v>19900000</v>
      </c>
      <c r="G171" s="84">
        <v>0</v>
      </c>
      <c r="H171" s="84">
        <v>0</v>
      </c>
      <c r="I171" s="84">
        <v>0</v>
      </c>
      <c r="J171" s="84">
        <v>0</v>
      </c>
      <c r="K171" s="84">
        <v>0</v>
      </c>
    </row>
    <row r="172" spans="1:11" x14ac:dyDescent="0.65">
      <c r="A172" s="82">
        <v>6167</v>
      </c>
      <c r="B172" s="83" t="s">
        <v>282</v>
      </c>
      <c r="C172" s="83">
        <f>VLOOKUP(A172,دی!A:C,3,0)</f>
        <v>537</v>
      </c>
      <c r="D172" s="83">
        <v>1404</v>
      </c>
      <c r="E172" s="83">
        <v>11</v>
      </c>
      <c r="F172" s="84">
        <v>19900000</v>
      </c>
      <c r="G172" s="84">
        <v>3000000</v>
      </c>
      <c r="H172" s="84">
        <v>0</v>
      </c>
      <c r="I172" s="84">
        <v>0</v>
      </c>
      <c r="J172" s="84">
        <v>0</v>
      </c>
      <c r="K172" s="84">
        <v>7100000</v>
      </c>
    </row>
    <row r="173" spans="1:11" x14ac:dyDescent="0.65">
      <c r="A173" s="82">
        <v>6168</v>
      </c>
      <c r="B173" s="83" t="s">
        <v>296</v>
      </c>
      <c r="C173" s="83">
        <f>VLOOKUP(A173,دی!A:C,3,0)</f>
        <v>523</v>
      </c>
      <c r="D173" s="83">
        <v>1404</v>
      </c>
      <c r="E173" s="83">
        <v>11</v>
      </c>
      <c r="F173" s="84">
        <v>9950000</v>
      </c>
      <c r="G173" s="84">
        <v>0</v>
      </c>
      <c r="H173" s="84">
        <v>0</v>
      </c>
      <c r="I173" s="84">
        <v>0</v>
      </c>
      <c r="J173" s="84">
        <v>0</v>
      </c>
      <c r="K173" s="84">
        <v>0</v>
      </c>
    </row>
    <row r="174" spans="1:11" x14ac:dyDescent="0.65">
      <c r="A174" s="82">
        <v>6170</v>
      </c>
      <c r="B174" s="83" t="s">
        <v>297</v>
      </c>
      <c r="C174" s="83">
        <f>VLOOKUP(A174,دی!A:C,3,0)</f>
        <v>539</v>
      </c>
      <c r="D174" s="83">
        <v>1404</v>
      </c>
      <c r="E174" s="83">
        <v>11</v>
      </c>
      <c r="F174" s="84">
        <v>29850000</v>
      </c>
      <c r="G174" s="84">
        <v>0</v>
      </c>
      <c r="H174" s="84">
        <v>0</v>
      </c>
      <c r="I174" s="84">
        <v>0</v>
      </c>
      <c r="J174" s="84">
        <v>0</v>
      </c>
      <c r="K174" s="84">
        <v>1200000</v>
      </c>
    </row>
    <row r="175" spans="1:11" x14ac:dyDescent="0.65">
      <c r="A175" s="82">
        <v>6173</v>
      </c>
      <c r="B175" s="83" t="s">
        <v>303</v>
      </c>
      <c r="C175" s="83">
        <f>VLOOKUP(A175,دی!A:C,3,0)</f>
        <v>575</v>
      </c>
      <c r="D175" s="83">
        <v>1404</v>
      </c>
      <c r="E175" s="83">
        <v>11</v>
      </c>
      <c r="F175" s="84">
        <v>29850000</v>
      </c>
      <c r="G175" s="84">
        <v>0</v>
      </c>
      <c r="H175" s="84">
        <v>0</v>
      </c>
      <c r="I175" s="84">
        <v>0</v>
      </c>
      <c r="J175" s="84">
        <v>0</v>
      </c>
      <c r="K175" s="84">
        <v>8400000</v>
      </c>
    </row>
    <row r="176" spans="1:11" x14ac:dyDescent="0.65">
      <c r="A176" s="82">
        <v>6177</v>
      </c>
      <c r="B176" s="83" t="s">
        <v>298</v>
      </c>
      <c r="C176" s="83">
        <f>VLOOKUP(A176,دی!A:C,3,0)</f>
        <v>587</v>
      </c>
      <c r="D176" s="83">
        <v>1404</v>
      </c>
      <c r="E176" s="83">
        <v>11</v>
      </c>
      <c r="F176" s="84">
        <v>39800000</v>
      </c>
      <c r="G176" s="84">
        <v>60000000</v>
      </c>
      <c r="H176" s="84">
        <v>0</v>
      </c>
      <c r="I176" s="84">
        <v>0</v>
      </c>
      <c r="J176" s="84">
        <v>0</v>
      </c>
      <c r="K176" s="84">
        <v>0</v>
      </c>
    </row>
    <row r="177" spans="1:11" x14ac:dyDescent="0.65">
      <c r="A177" s="82">
        <v>6178</v>
      </c>
      <c r="B177" s="83" t="s">
        <v>304</v>
      </c>
      <c r="C177" s="83">
        <f>VLOOKUP(A177,دی!A:C,3,0)</f>
        <v>592</v>
      </c>
      <c r="D177" s="83">
        <v>1404</v>
      </c>
      <c r="E177" s="83">
        <v>11</v>
      </c>
      <c r="F177" s="84">
        <v>19900000</v>
      </c>
      <c r="G177" s="84">
        <v>0</v>
      </c>
      <c r="H177" s="84">
        <v>0</v>
      </c>
      <c r="I177" s="84">
        <v>0</v>
      </c>
      <c r="J177" s="84">
        <v>0</v>
      </c>
      <c r="K177" s="84">
        <v>5400000</v>
      </c>
    </row>
    <row r="178" spans="1:11" x14ac:dyDescent="0.65">
      <c r="A178" s="82">
        <v>6180</v>
      </c>
      <c r="B178" s="83" t="s">
        <v>308</v>
      </c>
      <c r="C178" s="83">
        <f>VLOOKUP(A178,دی!A:C,3,0)</f>
        <v>595</v>
      </c>
      <c r="D178" s="83">
        <v>1404</v>
      </c>
      <c r="E178" s="83">
        <v>11</v>
      </c>
      <c r="F178" s="84">
        <v>39800000</v>
      </c>
      <c r="G178" s="84">
        <v>0</v>
      </c>
      <c r="H178" s="84">
        <v>0</v>
      </c>
      <c r="I178" s="84">
        <v>0</v>
      </c>
      <c r="J178" s="84">
        <v>0</v>
      </c>
      <c r="K178" s="84">
        <v>0</v>
      </c>
    </row>
    <row r="179" spans="1:11" x14ac:dyDescent="0.65">
      <c r="A179" s="82">
        <v>6181</v>
      </c>
      <c r="B179" s="83" t="s">
        <v>305</v>
      </c>
      <c r="C179" s="83">
        <f>VLOOKUP(A179,دی!A:C,3,0)</f>
        <v>601</v>
      </c>
      <c r="D179" s="83">
        <v>1404</v>
      </c>
      <c r="E179" s="83">
        <v>11</v>
      </c>
      <c r="F179" s="84">
        <v>9950000</v>
      </c>
      <c r="G179" s="84">
        <v>0</v>
      </c>
      <c r="H179" s="84">
        <v>0</v>
      </c>
      <c r="I179" s="84">
        <v>0</v>
      </c>
      <c r="J179" s="84">
        <v>0</v>
      </c>
      <c r="K179" s="84">
        <v>3000000</v>
      </c>
    </row>
    <row r="180" spans="1:11" x14ac:dyDescent="0.65">
      <c r="A180" s="82">
        <v>6447</v>
      </c>
      <c r="B180" s="83" t="s">
        <v>204</v>
      </c>
      <c r="C180" s="83">
        <f>VLOOKUP(A180,دی!A:C,3,0)</f>
        <v>91</v>
      </c>
      <c r="D180" s="83">
        <v>1404</v>
      </c>
      <c r="E180" s="83">
        <v>11</v>
      </c>
      <c r="F180" s="84">
        <v>29850000</v>
      </c>
      <c r="G180" s="84">
        <v>0</v>
      </c>
      <c r="H180" s="84">
        <v>0</v>
      </c>
      <c r="I180" s="84">
        <v>0</v>
      </c>
      <c r="J180" s="84">
        <v>0</v>
      </c>
      <c r="K180" s="84">
        <v>0</v>
      </c>
    </row>
    <row r="181" spans="1:11" x14ac:dyDescent="0.65">
      <c r="A181" s="82">
        <v>6199</v>
      </c>
      <c r="B181" s="83" t="s">
        <v>309</v>
      </c>
      <c r="C181" s="83">
        <f>VLOOKUP(A181,دی!A:C,3,0)</f>
        <v>610</v>
      </c>
      <c r="D181" s="83">
        <v>1404</v>
      </c>
      <c r="E181" s="83">
        <v>11</v>
      </c>
      <c r="F181" s="84">
        <v>0</v>
      </c>
      <c r="G181" s="84">
        <v>0</v>
      </c>
      <c r="H181" s="84">
        <v>0</v>
      </c>
      <c r="I181" s="84">
        <v>0</v>
      </c>
      <c r="J181" s="84">
        <v>0</v>
      </c>
      <c r="K181" s="84">
        <v>22400000</v>
      </c>
    </row>
    <row r="182" spans="1:11" x14ac:dyDescent="0.65">
      <c r="A182" s="82">
        <v>6035</v>
      </c>
      <c r="B182" s="83" t="s">
        <v>173</v>
      </c>
      <c r="C182" s="83">
        <f>VLOOKUP(A182,دی!A:C,3,0)</f>
        <v>385</v>
      </c>
      <c r="D182" s="83">
        <v>1404</v>
      </c>
      <c r="E182" s="83">
        <v>11</v>
      </c>
      <c r="F182" s="84">
        <v>0</v>
      </c>
      <c r="G182" s="84">
        <v>0</v>
      </c>
      <c r="H182" s="84">
        <v>0</v>
      </c>
      <c r="I182" s="84">
        <v>0</v>
      </c>
      <c r="J182" s="84">
        <v>0</v>
      </c>
      <c r="K182" s="84">
        <v>19000000</v>
      </c>
    </row>
    <row r="183" spans="1:11" x14ac:dyDescent="0.65">
      <c r="A183" s="82">
        <v>4655</v>
      </c>
      <c r="B183" s="83" t="s">
        <v>19</v>
      </c>
      <c r="C183" s="83">
        <f>VLOOKUP(A183,دی!A:C,3,0)</f>
        <v>122</v>
      </c>
      <c r="D183" s="83">
        <v>1404</v>
      </c>
      <c r="E183" s="83">
        <v>11</v>
      </c>
      <c r="F183" s="84">
        <v>0</v>
      </c>
      <c r="G183" s="84">
        <v>0</v>
      </c>
      <c r="H183" s="84">
        <v>0</v>
      </c>
      <c r="I183" s="84">
        <v>0</v>
      </c>
      <c r="J183" s="84">
        <v>0</v>
      </c>
      <c r="K183" s="84">
        <v>15000000</v>
      </c>
    </row>
    <row r="184" spans="1:11" x14ac:dyDescent="0.65">
      <c r="A184" s="82">
        <v>6046</v>
      </c>
      <c r="B184" s="83" t="s">
        <v>313</v>
      </c>
      <c r="C184" s="83">
        <f>VLOOKUP(A184,دی!A:C,3,0)</f>
        <v>396</v>
      </c>
      <c r="D184" s="83">
        <v>1404</v>
      </c>
      <c r="E184" s="83">
        <v>11</v>
      </c>
      <c r="F184" s="84">
        <v>0</v>
      </c>
      <c r="G184" s="84">
        <v>0</v>
      </c>
      <c r="H184" s="84">
        <v>0</v>
      </c>
      <c r="I184" s="84">
        <v>0</v>
      </c>
      <c r="J184" s="84">
        <v>0</v>
      </c>
      <c r="K184" s="84">
        <v>13900000</v>
      </c>
    </row>
    <row r="185" spans="1:11" x14ac:dyDescent="0.65">
      <c r="A185" s="82">
        <v>5642</v>
      </c>
      <c r="B185" s="83" t="s">
        <v>314</v>
      </c>
      <c r="C185" s="83">
        <f>VLOOKUP(A185,دی!A:C,3,0)</f>
        <v>137</v>
      </c>
      <c r="D185" s="83">
        <v>1404</v>
      </c>
      <c r="E185" s="83">
        <v>11</v>
      </c>
      <c r="F185" s="84">
        <v>0</v>
      </c>
      <c r="G185" s="84">
        <v>0</v>
      </c>
      <c r="H185" s="84">
        <v>0</v>
      </c>
      <c r="I185" s="84">
        <v>0</v>
      </c>
      <c r="J185" s="84">
        <v>0</v>
      </c>
      <c r="K185" s="84">
        <v>13500000</v>
      </c>
    </row>
    <row r="186" spans="1:11" x14ac:dyDescent="0.65">
      <c r="A186" s="82">
        <v>5876</v>
      </c>
      <c r="B186" s="83" t="s">
        <v>249</v>
      </c>
      <c r="C186" s="83">
        <f>VLOOKUP(A186,دی!A:C,3,0)</f>
        <v>127</v>
      </c>
      <c r="D186" s="83">
        <v>1404</v>
      </c>
      <c r="E186" s="83">
        <v>11</v>
      </c>
      <c r="F186" s="84">
        <v>0</v>
      </c>
      <c r="G186" s="84">
        <v>0</v>
      </c>
      <c r="H186" s="84">
        <v>0</v>
      </c>
      <c r="I186" s="84">
        <v>0</v>
      </c>
      <c r="J186" s="84">
        <v>0</v>
      </c>
      <c r="K186" s="84">
        <v>12200000</v>
      </c>
    </row>
    <row r="187" spans="1:11" x14ac:dyDescent="0.65">
      <c r="A187" s="82">
        <v>6129</v>
      </c>
      <c r="B187" s="83" t="s">
        <v>289</v>
      </c>
      <c r="C187" s="83">
        <f>VLOOKUP(A187,دی!A:C,3,0)</f>
        <v>494</v>
      </c>
      <c r="D187" s="83">
        <v>1404</v>
      </c>
      <c r="E187" s="83">
        <v>11</v>
      </c>
      <c r="F187" s="84">
        <v>0</v>
      </c>
      <c r="G187" s="84">
        <v>0</v>
      </c>
      <c r="H187" s="84">
        <v>0</v>
      </c>
      <c r="I187" s="84">
        <v>0</v>
      </c>
      <c r="J187" s="84">
        <v>0</v>
      </c>
      <c r="K187" s="84">
        <v>12800000</v>
      </c>
    </row>
    <row r="188" spans="1:11" x14ac:dyDescent="0.65">
      <c r="A188" s="82">
        <v>6189</v>
      </c>
      <c r="B188" s="83" t="s">
        <v>301</v>
      </c>
      <c r="C188" s="83">
        <f>VLOOKUP(A188,دی!A:C,3,0)</f>
        <v>597</v>
      </c>
      <c r="D188" s="83">
        <v>1404</v>
      </c>
      <c r="E188" s="83">
        <v>11</v>
      </c>
      <c r="F188" s="84">
        <v>0</v>
      </c>
      <c r="G188" s="84">
        <v>0</v>
      </c>
      <c r="H188" s="84">
        <v>0</v>
      </c>
      <c r="I188" s="84">
        <v>0</v>
      </c>
      <c r="J188" s="84">
        <v>0</v>
      </c>
      <c r="K188" s="84">
        <v>10500000</v>
      </c>
    </row>
    <row r="189" spans="1:11" x14ac:dyDescent="0.65">
      <c r="A189" s="82">
        <v>6014</v>
      </c>
      <c r="B189" s="83" t="s">
        <v>315</v>
      </c>
      <c r="C189" s="83">
        <f>VLOOKUP(A189,دی!A:C,3,0)</f>
        <v>319</v>
      </c>
      <c r="D189" s="83">
        <v>1404</v>
      </c>
      <c r="E189" s="83">
        <v>11</v>
      </c>
      <c r="F189" s="84">
        <v>0</v>
      </c>
      <c r="G189" s="84">
        <v>0</v>
      </c>
      <c r="H189" s="84">
        <v>0</v>
      </c>
      <c r="I189" s="84">
        <v>0</v>
      </c>
      <c r="J189" s="84">
        <v>0</v>
      </c>
      <c r="K189" s="84">
        <v>10500000</v>
      </c>
    </row>
    <row r="190" spans="1:11" x14ac:dyDescent="0.65">
      <c r="A190" s="82">
        <v>6057</v>
      </c>
      <c r="B190" s="83" t="s">
        <v>181</v>
      </c>
      <c r="C190" s="83">
        <f>VLOOKUP(A190,دی!A:C,3,0)</f>
        <v>395</v>
      </c>
      <c r="D190" s="83">
        <v>1404</v>
      </c>
      <c r="E190" s="83">
        <v>11</v>
      </c>
      <c r="F190" s="84">
        <v>0</v>
      </c>
      <c r="G190" s="84">
        <v>0</v>
      </c>
      <c r="H190" s="84">
        <v>0</v>
      </c>
      <c r="I190" s="84">
        <v>0</v>
      </c>
      <c r="J190" s="84">
        <v>0</v>
      </c>
      <c r="K190" s="84">
        <v>9600000</v>
      </c>
    </row>
    <row r="191" spans="1:11" x14ac:dyDescent="0.65">
      <c r="A191" s="82">
        <v>4701</v>
      </c>
      <c r="B191" s="83" t="s">
        <v>40</v>
      </c>
      <c r="C191" s="83">
        <f>VLOOKUP(A191,دی!A:C,3,0)</f>
        <v>138</v>
      </c>
      <c r="D191" s="83">
        <v>1404</v>
      </c>
      <c r="E191" s="83">
        <v>11</v>
      </c>
      <c r="F191" s="84">
        <v>0</v>
      </c>
      <c r="G191" s="84">
        <v>0</v>
      </c>
      <c r="H191" s="84">
        <v>0</v>
      </c>
      <c r="I191" s="84">
        <v>0</v>
      </c>
      <c r="J191" s="84">
        <v>0</v>
      </c>
      <c r="K191" s="84">
        <v>8800000</v>
      </c>
    </row>
    <row r="192" spans="1:11" x14ac:dyDescent="0.65">
      <c r="A192" s="82">
        <v>5671</v>
      </c>
      <c r="B192" s="83" t="s">
        <v>65</v>
      </c>
      <c r="C192" s="83">
        <f>VLOOKUP(A192,دی!A:C,3,0)</f>
        <v>128</v>
      </c>
      <c r="D192" s="83">
        <v>1404</v>
      </c>
      <c r="E192" s="83">
        <v>11</v>
      </c>
      <c r="F192" s="84">
        <v>0</v>
      </c>
      <c r="G192" s="84">
        <v>0</v>
      </c>
      <c r="H192" s="84">
        <v>0</v>
      </c>
      <c r="I192" s="84">
        <v>0</v>
      </c>
      <c r="J192" s="84">
        <v>0</v>
      </c>
      <c r="K192" s="84">
        <v>7100000</v>
      </c>
    </row>
    <row r="193" spans="1:11" x14ac:dyDescent="0.65">
      <c r="A193" s="82">
        <v>5997</v>
      </c>
      <c r="B193" s="83" t="s">
        <v>316</v>
      </c>
      <c r="C193" s="83">
        <f>VLOOKUP(A193,دی!A:C,3,0)</f>
        <v>322</v>
      </c>
      <c r="D193" s="83">
        <v>1404</v>
      </c>
      <c r="E193" s="83">
        <v>11</v>
      </c>
      <c r="F193" s="84">
        <v>0</v>
      </c>
      <c r="G193" s="84">
        <v>0</v>
      </c>
      <c r="H193" s="84">
        <v>0</v>
      </c>
      <c r="I193" s="84">
        <v>0</v>
      </c>
      <c r="J193" s="84">
        <v>0</v>
      </c>
      <c r="K193" s="84">
        <v>5400000</v>
      </c>
    </row>
    <row r="194" spans="1:11" x14ac:dyDescent="0.65">
      <c r="A194" s="82">
        <v>6019</v>
      </c>
      <c r="B194" s="83" t="s">
        <v>317</v>
      </c>
      <c r="C194" s="83">
        <f>VLOOKUP(A194,دی!A:C,3,0)</f>
        <v>374</v>
      </c>
      <c r="D194" s="83">
        <v>1404</v>
      </c>
      <c r="E194" s="83">
        <v>11</v>
      </c>
      <c r="F194" s="84">
        <v>0</v>
      </c>
      <c r="G194" s="84">
        <v>0</v>
      </c>
      <c r="H194" s="84">
        <v>0</v>
      </c>
      <c r="I194" s="84">
        <v>0</v>
      </c>
      <c r="J194" s="84">
        <v>0</v>
      </c>
      <c r="K194" s="84">
        <v>5000000</v>
      </c>
    </row>
    <row r="195" spans="1:11" x14ac:dyDescent="0.65">
      <c r="A195" s="82">
        <v>5833</v>
      </c>
      <c r="B195" s="83" t="s">
        <v>98</v>
      </c>
      <c r="C195" s="83">
        <f>VLOOKUP(A195,دی!A:C,3,0)</f>
        <v>125</v>
      </c>
      <c r="D195" s="83">
        <v>1404</v>
      </c>
      <c r="E195" s="83">
        <v>11</v>
      </c>
      <c r="F195" s="84">
        <v>0</v>
      </c>
      <c r="G195" s="84">
        <v>0</v>
      </c>
      <c r="H195" s="84">
        <v>0</v>
      </c>
      <c r="I195" s="84">
        <v>0</v>
      </c>
      <c r="J195" s="84">
        <v>0</v>
      </c>
      <c r="K195" s="84">
        <v>4100000</v>
      </c>
    </row>
    <row r="196" spans="1:11" x14ac:dyDescent="0.65">
      <c r="A196" s="82">
        <v>6206</v>
      </c>
      <c r="B196" s="83" t="s">
        <v>318</v>
      </c>
      <c r="C196" s="83">
        <v>0</v>
      </c>
      <c r="D196" s="83">
        <v>1404</v>
      </c>
      <c r="E196" s="83">
        <v>11</v>
      </c>
      <c r="F196" s="84">
        <v>0</v>
      </c>
      <c r="G196" s="84">
        <v>0</v>
      </c>
      <c r="H196" s="84">
        <v>0</v>
      </c>
      <c r="I196" s="84">
        <v>0</v>
      </c>
      <c r="J196" s="84">
        <v>0</v>
      </c>
      <c r="K196" s="84">
        <v>3900000</v>
      </c>
    </row>
    <row r="197" spans="1:11" x14ac:dyDescent="0.65">
      <c r="A197" s="82">
        <v>5971</v>
      </c>
      <c r="B197" s="83" t="s">
        <v>219</v>
      </c>
      <c r="C197" s="83">
        <f>VLOOKUP(A197,دی!A:C,3,0)</f>
        <v>203</v>
      </c>
      <c r="D197" s="83">
        <v>1404</v>
      </c>
      <c r="E197" s="83">
        <v>11</v>
      </c>
      <c r="F197" s="84">
        <v>0</v>
      </c>
      <c r="G197" s="84">
        <v>0</v>
      </c>
      <c r="H197" s="84">
        <v>0</v>
      </c>
      <c r="I197" s="84">
        <v>0</v>
      </c>
      <c r="J197" s="84">
        <v>0</v>
      </c>
      <c r="K197" s="84">
        <v>3800000</v>
      </c>
    </row>
    <row r="198" spans="1:11" x14ac:dyDescent="0.65">
      <c r="A198" s="82">
        <v>6128</v>
      </c>
      <c r="B198" s="83" t="s">
        <v>319</v>
      </c>
      <c r="C198" s="83">
        <v>0</v>
      </c>
      <c r="D198" s="83">
        <v>1404</v>
      </c>
      <c r="E198" s="83">
        <v>11</v>
      </c>
      <c r="F198" s="84">
        <v>0</v>
      </c>
      <c r="G198" s="84">
        <v>0</v>
      </c>
      <c r="H198" s="84">
        <v>0</v>
      </c>
      <c r="I198" s="84">
        <v>0</v>
      </c>
      <c r="J198" s="84">
        <v>0</v>
      </c>
      <c r="K198" s="84">
        <v>3000000</v>
      </c>
    </row>
    <row r="199" spans="1:11" x14ac:dyDescent="0.65">
      <c r="A199" s="82">
        <v>5970</v>
      </c>
      <c r="B199" s="83" t="s">
        <v>218</v>
      </c>
      <c r="C199" s="83">
        <f>VLOOKUP(A199,دی!A:C,3,0)</f>
        <v>204</v>
      </c>
      <c r="D199" s="83">
        <v>1404</v>
      </c>
      <c r="E199" s="83">
        <v>11</v>
      </c>
      <c r="F199" s="84">
        <v>0</v>
      </c>
      <c r="G199" s="84">
        <v>0</v>
      </c>
      <c r="H199" s="84">
        <v>0</v>
      </c>
      <c r="I199" s="84">
        <v>0</v>
      </c>
      <c r="J199" s="84">
        <v>0</v>
      </c>
      <c r="K199" s="84">
        <v>2100000</v>
      </c>
    </row>
    <row r="200" spans="1:11" x14ac:dyDescent="0.65">
      <c r="A200" s="82">
        <v>5829</v>
      </c>
      <c r="B200" s="83" t="s">
        <v>320</v>
      </c>
      <c r="C200" s="83">
        <f>VLOOKUP(A200,دی!A:C,3,0)</f>
        <v>56</v>
      </c>
      <c r="D200" s="83">
        <v>1404</v>
      </c>
      <c r="E200" s="83">
        <v>11</v>
      </c>
      <c r="F200" s="84">
        <v>0</v>
      </c>
      <c r="G200" s="84">
        <v>0</v>
      </c>
      <c r="H200" s="84">
        <v>0</v>
      </c>
      <c r="I200" s="84">
        <v>0</v>
      </c>
      <c r="J200" s="84">
        <v>0</v>
      </c>
      <c r="K200" s="84">
        <v>1200000</v>
      </c>
    </row>
    <row r="201" spans="1:11" x14ac:dyDescent="0.65">
      <c r="A201" s="82">
        <v>6217</v>
      </c>
      <c r="B201" s="83" t="s">
        <v>321</v>
      </c>
      <c r="C201" s="83">
        <v>0</v>
      </c>
      <c r="D201" s="83">
        <v>1404</v>
      </c>
      <c r="E201" s="83">
        <v>11</v>
      </c>
      <c r="F201" s="84">
        <v>0</v>
      </c>
      <c r="G201" s="84">
        <v>0</v>
      </c>
      <c r="H201" s="84">
        <v>0</v>
      </c>
      <c r="I201" s="84">
        <v>0</v>
      </c>
      <c r="J201" s="84">
        <v>0</v>
      </c>
      <c r="K201" s="84">
        <v>600000</v>
      </c>
    </row>
    <row r="202" spans="1:11" x14ac:dyDescent="0.65">
      <c r="A202" s="82">
        <v>5816</v>
      </c>
      <c r="B202" s="83" t="s">
        <v>322</v>
      </c>
      <c r="C202" s="83">
        <f>VLOOKUP(A202,دی!A:C,3,0)</f>
        <v>86</v>
      </c>
      <c r="D202" s="83">
        <v>1404</v>
      </c>
      <c r="E202" s="83">
        <v>11</v>
      </c>
      <c r="F202" s="84">
        <v>0</v>
      </c>
      <c r="G202" s="84">
        <v>0</v>
      </c>
      <c r="H202" s="84">
        <v>0</v>
      </c>
      <c r="I202" s="84">
        <v>0</v>
      </c>
      <c r="J202" s="84">
        <v>0</v>
      </c>
      <c r="K202" s="84">
        <v>6537800</v>
      </c>
    </row>
    <row r="203" spans="1:11" x14ac:dyDescent="0.65">
      <c r="A203" s="82">
        <v>6196</v>
      </c>
      <c r="B203" s="83" t="s">
        <v>323</v>
      </c>
      <c r="C203" s="83">
        <v>0</v>
      </c>
      <c r="D203" s="83">
        <v>1404</v>
      </c>
      <c r="E203" s="83">
        <v>11</v>
      </c>
      <c r="F203" s="84">
        <v>0</v>
      </c>
      <c r="G203" s="84">
        <v>0</v>
      </c>
      <c r="H203" s="84">
        <v>0</v>
      </c>
      <c r="I203" s="84">
        <v>0</v>
      </c>
      <c r="J203" s="84">
        <v>0</v>
      </c>
      <c r="K203" s="84">
        <v>300000</v>
      </c>
    </row>
    <row r="204" spans="1:11" x14ac:dyDescent="0.65">
      <c r="A204" s="82">
        <v>5638</v>
      </c>
      <c r="B204" s="83" t="s">
        <v>59</v>
      </c>
      <c r="C204" s="83">
        <v>0</v>
      </c>
      <c r="D204" s="83">
        <v>1404</v>
      </c>
      <c r="E204" s="83">
        <v>11</v>
      </c>
      <c r="F204" s="84">
        <v>0</v>
      </c>
      <c r="G204" s="84">
        <v>0</v>
      </c>
      <c r="H204" s="84">
        <v>0</v>
      </c>
      <c r="I204" s="84">
        <v>0</v>
      </c>
      <c r="J204" s="84">
        <v>0</v>
      </c>
      <c r="K204" s="84">
        <v>3000000</v>
      </c>
    </row>
  </sheetData>
  <autoFilter ref="A1:K204" xr:uid="{679B1925-89BA-4162-B172-0BB365E25D0F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اردیبهشت</vt:lpstr>
      <vt:lpstr>خرداد</vt:lpstr>
      <vt:lpstr>حق ماموریت تیر</vt:lpstr>
      <vt:lpstr>تیر</vt:lpstr>
      <vt:lpstr>مرداد</vt:lpstr>
      <vt:lpstr>شهریور</vt:lpstr>
      <vt:lpstr>مهر</vt:lpstr>
      <vt:lpstr>آبان</vt:lpstr>
      <vt:lpstr>آذر</vt:lpstr>
      <vt:lpstr>دی</vt:lpstr>
      <vt:lpstr>بهمن</vt:lpstr>
      <vt:lpstr>دی!Print_Area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فاطمه کرامتی هتکه پشتی</dc:creator>
  <cp:lastModifiedBy>فاطمه کرامتی هتکه پشتی</cp:lastModifiedBy>
  <cp:lastPrinted>2026-01-06T07:28:45Z</cp:lastPrinted>
  <dcterms:created xsi:type="dcterms:W3CDTF">2015-06-05T18:17:20Z</dcterms:created>
  <dcterms:modified xsi:type="dcterms:W3CDTF">2026-02-03T08:26:40Z</dcterms:modified>
</cp:coreProperties>
</file>